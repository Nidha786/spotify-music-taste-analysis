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.csv" sheetId="1" r:id="rId5"/>
    <sheet state="visible" name="Calc_Data" sheetId="2" r:id="rId6"/>
    <sheet state="visible" name="Dashboard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<sst xmlns="http://schemas.openxmlformats.org/spreadsheetml/2006/main" count="45" uniqueCount="36">
  <si>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</si>
  <si>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</si>
  <si>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</si>
  <si>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</si>
  <si>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</si>
  <si>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</si>
  <si>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</si>
  <si>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</si>
  <si>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</si>
  <si>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</si>
  <si>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</si>
  <si>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duration_ms</t>
  </si>
  <si>
    <t>time_signature</t>
  </si>
  <si>
    <t>liked</t>
  </si>
  <si>
    <t>Avg Tempo</t>
  </si>
  <si>
    <t>Avg Energy</t>
  </si>
  <si>
    <t>Avg Danceability</t>
  </si>
  <si>
    <t>Metric</t>
  </si>
  <si>
    <t>Average</t>
  </si>
  <si>
    <t>Max</t>
  </si>
  <si>
    <t>Min</t>
  </si>
  <si>
    <t>Tempo</t>
  </si>
  <si>
    <t>Duration (ms)</t>
  </si>
  <si>
    <t>Energy</t>
  </si>
  <si>
    <t>Danceability</t>
  </si>
  <si>
    <t>Loudness</t>
  </si>
  <si>
    <t>Speechiness</t>
  </si>
  <si>
    <t>Liveness</t>
  </si>
  <si>
    <t>Avg Acousticness</t>
  </si>
  <si>
    <t>Avg Instrumentalness</t>
  </si>
  <si>
    <t>Valence</t>
  </si>
  <si>
    <t>Avg Loudness</t>
  </si>
  <si>
    <t>Avg Speechiness</t>
  </si>
  <si>
    <t>Avg Liveness</t>
  </si>
  <si>
    <t>Avg Valence</t>
  </si>
  <si>
    <t>Spotify Taste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</si>
</sst>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i/>
      <sz val="11.0"/>
      <color theme="1"/>
      <name val="Arial"/>
      <scheme val="minor"/>
    </font>
    <font>
      <color rgb="FFFFFFFF"/>
      <name val="Arial"/>
      <scheme val="minor"/>
    </font>
    <font>
      <color rgb="FFFFFFFF"/>
      <name val="Montserrat"/>
    </font>
    <font>
      <b/>
      <sz val="24.0"/>
      <color rgb="FF1DB954"/>
      <name val="Arial"/>
      <scheme val="minor"/>
    </font>
    <font>
      <b/>
      <color rgb="FF1DB954"/>
      <name val="Montserrat"/>
    </font>
    <font>
      <color theme="0"/>
      <name val="Montserrat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121212"/>
        <bgColor rgb="FF121212"/>
      </patternFill>
    </fill>
    <fill>
      <patternFill patternType="solid">
        <fgColor rgb="FF181818"/>
        <bgColor rgb="FF181818"/>
      </patternFill>
    </fill>
    <fill>
      <patternFill patternType="solid">
        <fgColor rgb="FFFFFFFF"/>
        <bgColor rgb="FFFFFFFF"/>
      </patternFill>
    </fill>
  </fills>
  <borders count="3">
    <border/>
    <border>
      <bottom style="thick">
        <color rgb="FF666666"/>
      </bottom>
    </border>
    <border>
      <bottom style="thin">
        <color rgb="FF1DB954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1" numFmtId="11" xfId="0" applyAlignment="1" applyFont="1" applyNumberFormat="1">
      <alignment readingOrder="0" shrinkToFit="0" vertical="center" wrapText="0"/>
    </xf>
    <xf borderId="1" fillId="2" fontId="2" numFmtId="0" xfId="0" applyAlignment="1" applyBorder="1" applyFill="1" applyFont="1">
      <alignment readingOrder="0"/>
    </xf>
    <xf borderId="0" fillId="3" fontId="3" numFmtId="0" xfId="0" applyFill="1" applyFont="1"/>
    <xf borderId="0" fillId="2" fontId="1" numFmtId="0" xfId="0" applyFont="1"/>
    <xf borderId="0" fillId="0" fontId="1" numFmtId="0" xfId="0" applyAlignment="1" applyFont="1">
      <alignment readingOrder="0"/>
    </xf>
    <xf borderId="0" fillId="4" fontId="4" numFmtId="0" xfId="0" applyFill="1" applyFont="1"/>
    <xf borderId="0" fillId="0" fontId="4" numFmtId="0" xfId="0" applyFont="1"/>
    <xf borderId="0" fillId="4" fontId="5" numFmtId="0" xfId="0" applyAlignment="1" applyFont="1">
      <alignment horizontal="center" vertical="center"/>
    </xf>
    <xf borderId="2" fillId="5" fontId="6" numFmtId="0" xfId="0" applyAlignment="1" applyBorder="1" applyFill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4" fontId="4" numFmtId="164" xfId="0" applyAlignment="1" applyFont="1" applyNumberFormat="1">
      <alignment horizontal="center"/>
    </xf>
    <xf borderId="0" fillId="4" fontId="4" numFmtId="3" xfId="0" applyAlignment="1" applyFont="1" applyNumberFormat="1">
      <alignment horizontal="center"/>
    </xf>
    <xf borderId="0" fillId="6" fontId="7" numFmtId="0" xfId="0" applyFill="1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3">
    <tableStyle count="4" pivot="0" name="Calc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w_Data.cs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12" table="0" name="Google Sheets Pivot Table Style">
      <tableStyleElement dxfId="6" type="wholeTable"/>
      <tableStyleElement dxfId="7" type="firstRowSubheading"/>
      <tableStyleElement dxfId="7" type="secondRowSubheading"/>
      <tableStyleElement dxfId="7" type="thirdRowSubheading"/>
      <tableStyleElement dxfId="8" type="firstColumnSubheading"/>
      <tableStyleElement dxfId="8" type="secondColumnSubheading"/>
      <tableStyleElement dxfId="8" type="thirdColumnSubheading"/>
      <tableStyleElement dxfId="8" type="headerRow"/>
      <tableStyleElement dxfId="9" type="firstSubtotalRow"/>
      <tableStyleElement dxfId="9" type="secondSubtotalRow"/>
      <tableStyleElement dxfId="9" type="thirdSubtotalRow"/>
      <tableStyleElement dxfId="10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Montserrat"/>
              </a:defRPr>
            </a:pPr>
            <a:r>
              <a:rPr b="0">
                <a:solidFill>
                  <a:srgbClr val="FFFFFF"/>
                </a:solidFill>
                <a:latin typeface="Montserrat"/>
              </a:rPr>
              <a:t>Audio Features by Liked Status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Calc_Data!$C$1</c:f>
            </c:strRef>
          </c:tx>
          <c:spPr>
            <a:solidFill>
              <a:srgbClr val="1DB954"/>
            </a:solidFill>
            <a:ln cmpd="sng">
              <a:noFill/>
            </a:ln>
          </c:spPr>
          <c:cat>
            <c:strRef>
              <c:f>Calc_Data!$A$2:$A$3</c:f>
            </c:strRef>
          </c:cat>
          <c:val>
            <c:numRef>
              <c:f>Calc_Data!$C$2:$C$3</c:f>
              <c:numCache/>
            </c:numRef>
          </c:val>
        </c:ser>
        <c:ser>
          <c:idx val="2"/>
          <c:order val="2"/>
          <c:tx>
            <c:strRef>
              <c:f>Calc_Data!$D$1</c:f>
            </c:strRef>
          </c:tx>
          <c:spPr>
            <a:solidFill>
              <a:srgbClr val="535353"/>
            </a:solidFill>
            <a:ln cmpd="sng">
              <a:noFill/>
            </a:ln>
          </c:spPr>
          <c:cat>
            <c:strRef>
              <c:f>Calc_Data!$A$2:$A$3</c:f>
            </c:strRef>
          </c:cat>
          <c:val>
            <c:numRef>
              <c:f>Calc_Data!$D$2:$D$3</c:f>
              <c:numCache/>
            </c:numRef>
          </c:val>
        </c:ser>
        <c:axId val="1095059414"/>
        <c:axId val="1251954562"/>
      </c:barChart>
      <c:catAx>
        <c:axId val="10950594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r>
                  <a:rPr b="0">
                    <a:solidFill>
                      <a:srgbClr val="242F2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</a:p>
        </c:txPr>
        <c:crossAx val="1251954562"/>
      </c:catAx>
      <c:valAx>
        <c:axId val="1251954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r>
                  <a:rPr b="0">
                    <a:solidFill>
                      <a:srgbClr val="242F2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095059414"/>
      </c:valAx>
      <c:barChart>
        <c:barDir val="col"/>
        <c:ser>
          <c:idx val="0"/>
          <c:order val="0"/>
          <c:tx>
            <c:strRef>
              <c:f>Calc_Data!$B$1</c:f>
            </c:strRef>
          </c:tx>
          <c:spPr>
            <a:solidFill>
              <a:srgbClr val="FFFFFF"/>
            </a:solidFill>
            <a:ln cmpd="sng">
              <a:noFill/>
            </a:ln>
          </c:spPr>
          <c:cat>
            <c:strRef>
              <c:f>Calc_Data!$A$2:$A$3</c:f>
            </c:strRef>
          </c:cat>
          <c:val>
            <c:numRef>
              <c:f>Calc_Data!$B$2:$B$3</c:f>
              <c:numCache/>
            </c:numRef>
          </c:val>
        </c:ser>
        <c:axId val="826431247"/>
        <c:axId val="1282927561"/>
      </c:barChart>
      <c:catAx>
        <c:axId val="82643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</a:p>
        </c:txPr>
        <c:crossAx val="1282927561"/>
      </c:catAx>
      <c:valAx>
        <c:axId val="128292756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r>
                  <a:rPr b="0">
                    <a:solidFill>
                      <a:srgbClr val="242F2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2643124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181818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Montserrat"/>
              </a:defRPr>
            </a:pPr>
            <a:r>
              <a:rPr b="0">
                <a:solidFill>
                  <a:srgbClr val="FFFFFF"/>
                </a:solidFill>
                <a:latin typeface="Montserrat"/>
              </a:rPr>
              <a:t>Energy vs Danceability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Raw_Data.csv!$B$1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1DB954"/>
              </a:solidFill>
              <a:ln cmpd="sng">
                <a:solidFill>
                  <a:srgbClr val="1DB954"/>
                </a:solidFill>
              </a:ln>
            </c:spPr>
          </c:marker>
          <c:xVal>
            <c:numRef>
              <c:f>Raw_Data.csv!$A$2:$A$196</c:f>
            </c:numRef>
          </c:xVal>
          <c:yVal>
            <c:numRef>
              <c:f>Raw_Data.csv!$B$2:$B$196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847562"/>
        <c:axId val="638317760"/>
      </c:scatterChart>
      <c:valAx>
        <c:axId val="16918475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r>
                  <a:rPr b="0">
                    <a:solidFill>
                      <a:srgbClr val="242F2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638317760"/>
      </c:valAx>
      <c:valAx>
        <c:axId val="638317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r>
                  <a:rPr b="0">
                    <a:solidFill>
                      <a:srgbClr val="242F2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691847562"/>
      </c:valAx>
    </c:plotArea>
    <c:plotVisOnly val="1"/>
  </c:chart>
  <c:spPr>
    <a:solidFill>
      <a:srgbClr val="181818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Montserrat"/>
              </a:defRPr>
            </a:pPr>
            <a:r>
              <a:rPr b="0">
                <a:solidFill>
                  <a:srgbClr val="FFFFFF"/>
                </a:solidFill>
                <a:latin typeface="Montserrat"/>
              </a:rPr>
              <a:t>Acousticness vs Instrumentalness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Calc_Data!$B$10</c:f>
            </c:strRef>
          </c:tx>
          <c:spPr>
            <a:solidFill>
              <a:srgbClr val="1DB954"/>
            </a:solidFill>
            <a:ln cmpd="sng">
              <a:noFill/>
            </a:ln>
          </c:spPr>
          <c:cat>
            <c:strRef>
              <c:f>Calc_Data!$A$11:$A$12</c:f>
            </c:strRef>
          </c:cat>
          <c:val>
            <c:numRef>
              <c:f>Calc_Data!$B$11:$B$12</c:f>
              <c:numCache/>
            </c:numRef>
          </c:val>
        </c:ser>
        <c:ser>
          <c:idx val="1"/>
          <c:order val="1"/>
          <c:tx>
            <c:strRef>
              <c:f>Calc_Data!$C$10</c:f>
            </c:strRef>
          </c:tx>
          <c:spPr>
            <a:solidFill>
              <a:srgbClr val="FFFFFF"/>
            </a:solidFill>
            <a:ln cmpd="sng">
              <a:noFill/>
            </a:ln>
          </c:spPr>
          <c:cat>
            <c:strRef>
              <c:f>Calc_Data!$A$11:$A$12</c:f>
            </c:strRef>
          </c:cat>
          <c:val>
            <c:numRef>
              <c:f>Calc_Data!$C$11:$C$12</c:f>
              <c:numCache/>
            </c:numRef>
          </c:val>
        </c:ser>
        <c:axId val="211580090"/>
        <c:axId val="778234460"/>
      </c:barChart>
      <c:catAx>
        <c:axId val="211580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r>
                  <a:rPr b="0">
                    <a:solidFill>
                      <a:srgbClr val="242F2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778234460"/>
      </c:catAx>
      <c:valAx>
        <c:axId val="778234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r>
                  <a:rPr b="0">
                    <a:solidFill>
                      <a:srgbClr val="242F2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21158009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181818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Montserrat"/>
              </a:defRPr>
            </a:pPr>
            <a:r>
              <a:rPr b="0">
                <a:solidFill>
                  <a:srgbClr val="FFFFFF"/>
                </a:solidFill>
                <a:latin typeface="Montserrat"/>
              </a:rPr>
              <a:t>Valence vs Energy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Raw_Data.csv!$J$1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1DB954"/>
              </a:solidFill>
              <a:ln cmpd="sng">
                <a:solidFill>
                  <a:srgbClr val="1DB954"/>
                </a:solidFill>
              </a:ln>
            </c:spPr>
          </c:marker>
          <c:xVal>
            <c:numRef>
              <c:f>Raw_Data.csv!$B$2:$B$196</c:f>
            </c:numRef>
          </c:xVal>
          <c:yVal>
            <c:numRef>
              <c:f>Raw_Data.csv!$J$2:$J$196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606478"/>
        <c:axId val="2082131405"/>
      </c:scatterChart>
      <c:valAx>
        <c:axId val="19196064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FFFFFF"/>
                    </a:solidFill>
                    <a:latin typeface="Roboto"/>
                  </a:defRPr>
                </a:pPr>
                <a:r>
                  <a:rPr b="0" sz="1200">
                    <a:solidFill>
                      <a:srgbClr val="FFFFFF"/>
                    </a:solidFill>
                    <a:latin typeface="Roboto"/>
                  </a:rPr>
                  <a:t>Energy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2082131405"/>
      </c:valAx>
      <c:valAx>
        <c:axId val="2082131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Roboto"/>
                  </a:defRPr>
                </a:pPr>
                <a:r>
                  <a:rPr b="0">
                    <a:solidFill>
                      <a:srgbClr val="FFFFFF"/>
                    </a:solidFill>
                    <a:latin typeface="Roboto"/>
                  </a:rPr>
                  <a:t>Valence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1919606478"/>
      </c:valAx>
    </c:plotArea>
    <c:plotVisOnly val="1"/>
  </c:chart>
  <c:spPr>
    <a:solidFill>
      <a:srgbClr val="181818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FFFF"/>
                </a:solidFill>
                <a:latin typeface="Montserrat"/>
              </a:defRPr>
            </a:pPr>
            <a:r>
              <a:rPr b="0">
                <a:solidFill>
                  <a:srgbClr val="FFFFFF"/>
                </a:solidFill>
                <a:latin typeface="Montserrat"/>
              </a:rPr>
              <a:t>Advanced Features by Liked Status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Calc_Data!$C$13</c:f>
            </c:strRef>
          </c:tx>
          <c:spPr>
            <a:solidFill>
              <a:srgbClr val="FFFFFF"/>
            </a:solidFill>
            <a:ln cmpd="sng">
              <a:noFill/>
            </a:ln>
          </c:spPr>
          <c:cat>
            <c:strRef>
              <c:f>Calc_Data!$A$14:$A$17</c:f>
            </c:strRef>
          </c:cat>
          <c:val>
            <c:numRef>
              <c:f>Calc_Data!$C$14:$C$17</c:f>
              <c:numCache/>
            </c:numRef>
          </c:val>
        </c:ser>
        <c:ser>
          <c:idx val="2"/>
          <c:order val="2"/>
          <c:tx>
            <c:strRef>
              <c:f>Calc_Data!$D$13</c:f>
            </c:strRef>
          </c:tx>
          <c:spPr>
            <a:solidFill>
              <a:srgbClr val="7F7F7F"/>
            </a:solidFill>
            <a:ln cmpd="sng">
              <a:noFill/>
            </a:ln>
          </c:spPr>
          <c:cat>
            <c:strRef>
              <c:f>Calc_Data!$A$14:$A$17</c:f>
            </c:strRef>
          </c:cat>
          <c:val>
            <c:numRef>
              <c:f>Calc_Data!$D$14:$D$17</c:f>
              <c:numCache/>
            </c:numRef>
          </c:val>
        </c:ser>
        <c:ser>
          <c:idx val="3"/>
          <c:order val="3"/>
          <c:tx>
            <c:strRef>
              <c:f>Calc_Data!$E$13</c:f>
            </c:strRef>
          </c:tx>
          <c:spPr>
            <a:solidFill>
              <a:srgbClr val="B2B2B2"/>
            </a:solidFill>
            <a:ln cmpd="sng">
              <a:noFill/>
            </a:ln>
          </c:spPr>
          <c:cat>
            <c:strRef>
              <c:f>Calc_Data!$A$14:$A$17</c:f>
            </c:strRef>
          </c:cat>
          <c:val>
            <c:numRef>
              <c:f>Calc_Data!$E$14:$E$17</c:f>
              <c:numCache/>
            </c:numRef>
          </c:val>
        </c:ser>
        <c:axId val="943265181"/>
        <c:axId val="505925457"/>
      </c:barChart>
      <c:catAx>
        <c:axId val="943265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Roboto"/>
                  </a:defRPr>
                </a:pPr>
                <a:r>
                  <a:rPr b="0">
                    <a:solidFill>
                      <a:srgbClr val="242F26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505925457"/>
      </c:catAx>
      <c:valAx>
        <c:axId val="505925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Roboto"/>
                  </a:defRPr>
                </a:pPr>
                <a:r>
                  <a:rPr b="0">
                    <a:solidFill>
                      <a:srgbClr val="242F26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943265181"/>
      </c:valAx>
      <c:barChart>
        <c:barDir val="col"/>
        <c:ser>
          <c:idx val="0"/>
          <c:order val="0"/>
          <c:tx>
            <c:strRef>
              <c:f>Calc_Data!$B$13</c:f>
            </c:strRef>
          </c:tx>
          <c:spPr>
            <a:solidFill>
              <a:srgbClr val="1DB954"/>
            </a:solidFill>
            <a:ln cmpd="sng">
              <a:noFill/>
            </a:ln>
          </c:spPr>
          <c:cat>
            <c:strRef>
              <c:f>Calc_Data!$A$14:$A$17</c:f>
            </c:strRef>
          </c:cat>
          <c:val>
            <c:numRef>
              <c:f>Calc_Data!$B$14:$B$17</c:f>
              <c:numCache/>
            </c:numRef>
          </c:val>
        </c:ser>
        <c:axId val="1090593082"/>
        <c:axId val="255025792"/>
      </c:barChart>
      <c:catAx>
        <c:axId val="10905930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255025792"/>
      </c:catAx>
      <c:valAx>
        <c:axId val="25502579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Roboto"/>
                  </a:defRPr>
                </a:pPr>
                <a:r>
                  <a:rPr b="0">
                    <a:solidFill>
                      <a:srgbClr val="242F26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Roboto"/>
              </a:defRPr>
            </a:pPr>
          </a:p>
        </c:txPr>
        <c:crossAx val="109059308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Roboto"/>
            </a:defRPr>
          </a:pPr>
        </a:p>
      </c:txPr>
    </c:legend>
    <c:plotVisOnly val="1"/>
  </c:chart>
  <c:spPr>
    <a:solidFill>
      <a:srgbClr val="181818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1.xml"/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12" Type="http://schemas.openxmlformats.org/officeDocument/2006/relationships/chart" Target="../charts/chart5.xml"/><Relationship Id="rId9" Type="http://schemas.openxmlformats.org/officeDocument/2006/relationships/image" Target="../media/Chart9.png"/><Relationship Id="rId5" Type="http://schemas.openxmlformats.org/officeDocument/2006/relationships/chart" Target="../charts/chart2.xml"/><Relationship Id="rId6" Type="http://schemas.openxmlformats.org/officeDocument/2006/relationships/chart" Target="../charts/chart3.xml"/><Relationship Id="rId7" Type="http://schemas.openxmlformats.org/officeDocument/2006/relationships/chart" Target="../charts/chart4.xml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85725</xdr:rowOff>
    </xdr:from>
    <xdr:ext cx="1762125" cy="952500"/>
    <xdr:pic>
      <xdr:nvPicPr>
        <xdr:cNvPr id="1184698133" name="Chart1" title="Average Temp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3</xdr:row>
      <xdr:rowOff>85725</xdr:rowOff>
    </xdr:from>
    <xdr:ext cx="1762125" cy="952500"/>
    <xdr:pic>
      <xdr:nvPicPr>
        <xdr:cNvPr id="1814030562" name="Chart2" title="Average Energy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552450</xdr:colOff>
      <xdr:row>3</xdr:row>
      <xdr:rowOff>85725</xdr:rowOff>
    </xdr:from>
    <xdr:ext cx="1762125" cy="952500"/>
    <xdr:pic>
      <xdr:nvPicPr>
        <xdr:cNvPr id="1505738296" name="Chart3" title="Average Danceability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161925</xdr:rowOff>
    </xdr:from>
    <xdr:ext cx="3514725" cy="2533650"/>
    <xdr:graphicFrame>
      <xdr:nvGraphicFramePr>
        <xdr:cNvPr id="4" name="Chart 4" title="Audio Features by Liked Statu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66675</xdr:colOff>
      <xdr:row>8</xdr:row>
      <xdr:rowOff>161925</xdr:rowOff>
    </xdr:from>
    <xdr:ext cx="3838575" cy="2533650"/>
    <xdr:graphicFrame>
      <xdr:nvGraphicFramePr>
        <xdr:cNvPr id="5" name="Chart 5" title="Energy vs Danceabilit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66675</xdr:colOff>
      <xdr:row>21</xdr:row>
      <xdr:rowOff>133350</xdr:rowOff>
    </xdr:from>
    <xdr:ext cx="3838575" cy="2447925"/>
    <xdr:graphicFrame>
      <xdr:nvGraphicFramePr>
        <xdr:cNvPr id="6" name="Chart 6" title="Acousticness vs Instrumentalnes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0</xdr:colOff>
      <xdr:row>21</xdr:row>
      <xdr:rowOff>152400</xdr:rowOff>
    </xdr:from>
    <xdr:ext cx="3514725" cy="2447925"/>
    <xdr:graphicFrame>
      <xdr:nvGraphicFramePr>
        <xdr:cNvPr id="7" name="Chart 7" title="Valence vs Energ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47625</xdr:colOff>
      <xdr:row>3</xdr:row>
      <xdr:rowOff>95250</xdr:rowOff>
    </xdr:from>
    <xdr:ext cx="1762125" cy="952500"/>
    <xdr:pic>
      <xdr:nvPicPr>
        <xdr:cNvPr id="2130625808" name="Chart8" title="Average Loudnes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323850</xdr:colOff>
      <xdr:row>3</xdr:row>
      <xdr:rowOff>95250</xdr:rowOff>
    </xdr:from>
    <xdr:ext cx="1762125" cy="952500"/>
    <xdr:pic>
      <xdr:nvPicPr>
        <xdr:cNvPr id="2063101595" name="Chart9" title="Average Speechines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590550</xdr:colOff>
      <xdr:row>3</xdr:row>
      <xdr:rowOff>95250</xdr:rowOff>
    </xdr:from>
    <xdr:ext cx="1762125" cy="952500"/>
    <xdr:pic>
      <xdr:nvPicPr>
        <xdr:cNvPr id="2058629018" name="Chart10" title="Average Livenes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647700</xdr:colOff>
      <xdr:row>8</xdr:row>
      <xdr:rowOff>161925</xdr:rowOff>
    </xdr:from>
    <xdr:ext cx="3228975" cy="952500"/>
    <xdr:pic>
      <xdr:nvPicPr>
        <xdr:cNvPr id="2062588660" name="Chart11" title="Average Valenc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476250</xdr:colOff>
      <xdr:row>21</xdr:row>
      <xdr:rowOff>142875</xdr:rowOff>
    </xdr:from>
    <xdr:ext cx="3400425" cy="2447925"/>
    <xdr:graphicFrame>
      <xdr:nvGraphicFramePr>
        <xdr:cNvPr id="12" name="Chart 12" title="Advanced Features by Liked Statu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96" sheet="Raw_Data.csv"/>
  </cacheSource>
  <cacheFields>
    <cacheField name="danceability" numFmtId="0">
      <sharedItems containsSemiMixedTypes="0" containsString="0" containsNumber="1">
        <n v="0.803"/>
        <n v="0.762"/>
        <n v="0.261"/>
        <n v="0.722"/>
        <n v="0.787"/>
        <n v="0.778"/>
        <n v="0.666"/>
        <n v="0.922"/>
        <n v="0.794"/>
        <n v="0.853"/>
        <n v="0.297"/>
        <n v="0.816"/>
        <n v="0.564"/>
        <n v="0.64"/>
        <n v="0.684"/>
        <n v="0.85"/>
        <n v="0.745"/>
        <n v="0.754"/>
        <n v="0.797"/>
        <n v="0.798"/>
        <n v="0.438"/>
        <n v="0.802"/>
        <n v="0.6"/>
        <n v="0.729"/>
        <n v="0.867"/>
        <n v="0.65"/>
        <n v="0.809"/>
        <n v="0.749"/>
        <n v="0.657"/>
        <n v="0.689"/>
        <n v="0.668"/>
        <n v="0.291"/>
        <n v="0.573"/>
        <n v="0.608"/>
        <n v="0.307"/>
        <n v="0.784"/>
        <n v="0.448"/>
        <n v="0.648"/>
        <n v="0.895"/>
        <n v="0.358"/>
        <n v="0.742"/>
        <n v="0.603"/>
        <n v="0.839"/>
        <n v="0.184"/>
        <n v="0.373"/>
        <n v="0.826"/>
        <n v="0.924"/>
        <n v="0.267"/>
        <n v="0.462"/>
        <n v="0.616"/>
        <n v="0.878"/>
        <n v="0.581"/>
        <n v="0.656"/>
        <n v="0.363"/>
        <n v="0.568"/>
        <n v="0.757"/>
        <n v="0.364"/>
        <n v="0.247"/>
        <n v="0.598"/>
        <n v="0.318"/>
        <n v="0.506"/>
        <n v="0.138"/>
        <n v="0.531"/>
        <n v="0.791"/>
        <n v="0.68"/>
        <n v="0.752"/>
        <n v="0.774"/>
        <n v="0.851"/>
        <n v="0.75"/>
        <n v="0.843"/>
        <n v="0.539"/>
        <n v="0.454"/>
        <n v="0.446"/>
        <n v="0.827"/>
        <n v="0.74"/>
        <n v="0.833"/>
        <n v="0.789"/>
        <n v="0.62"/>
        <n v="0.701"/>
        <n v="0.83"/>
        <n v="0.779"/>
        <n v="0.263"/>
        <n v="0.338"/>
        <n v="0.814"/>
        <n v="0.78"/>
        <n v="0.567"/>
        <n v="0.651"/>
        <n v="0.908"/>
        <n v="0.783"/>
        <n v="0.832"/>
        <n v="0.764"/>
        <n v="0.901"/>
        <n v="0.715"/>
        <n v="0.743"/>
        <n v="0.871"/>
        <n v="0.251"/>
        <n v="0.792"/>
        <n v="0.819"/>
        <n v="0.29"/>
        <n v="0.235"/>
        <n v="0.677"/>
        <n v="0.875"/>
        <n v="0.379"/>
        <n v="0.641"/>
        <n v="0.705"/>
        <n v="0.28"/>
        <n v="0.256"/>
        <n v="0.245"/>
        <n v="0.72"/>
        <n v="0.592"/>
        <n v="0.828"/>
        <n v="0.671"/>
        <n v="0.697"/>
        <n v="0.847"/>
        <n v="0.915"/>
        <n v="0.696"/>
        <n v="0.25"/>
        <n v="0.609"/>
        <n v="0.213"/>
        <n v="0.909"/>
        <n v="0.777"/>
        <n v="0.196"/>
        <n v="0.808"/>
        <n v="0.23"/>
        <n v="0.912"/>
        <n v="0.456"/>
        <n v="0.334"/>
        <n v="0.699"/>
        <n v="0.751"/>
        <n v="0.392"/>
        <n v="0.461"/>
        <n v="0.13"/>
        <n v="0.266"/>
        <n v="0.483"/>
        <n v="0.726"/>
        <n v="0.829"/>
        <n v="0.734"/>
        <n v="0.357"/>
        <n v="0.688"/>
        <n v="0.7"/>
        <n v="0.883"/>
        <n v="0.368"/>
        <n v="0.191"/>
        <n v="0.87"/>
        <n v="0.946"/>
        <n v="0.452"/>
        <n v="0.889"/>
        <n v="0.335"/>
        <n v="0.463"/>
        <n v="0.849"/>
        <n v="0.205"/>
        <n v="0.45"/>
        <n v="0.712"/>
        <n v="0.447"/>
        <n v="0.716"/>
        <n v="0.795"/>
        <n v="0.767"/>
        <n v="0.8"/>
        <n v="0.571"/>
        <n v="0.583"/>
        <n v="0.533"/>
        <n v="0.864"/>
        <n v="0.856"/>
        <n v="0.225"/>
        <n v="0.166"/>
        <n v="0.862"/>
        <n v="0.499"/>
        <n v="0.574"/>
        <n v="0.747"/>
      </sharedItems>
    </cacheField>
    <cacheField name="energy" numFmtId="0">
      <sharedItems containsSemiMixedTypes="0" containsString="0" containsNumber="1">
        <n v="0.624"/>
        <n v="0.703"/>
        <n v="0.0149"/>
        <n v="0.736"/>
        <n v="0.572"/>
        <n v="0.632"/>
        <n v="0.589"/>
        <n v="0.712"/>
        <n v="0.659"/>
        <n v="0.668"/>
        <n v="0.993"/>
        <n v="0.433"/>
        <n v="0.973"/>
        <n v="0.743"/>
        <n v="0.957"/>
        <n v="0.64"/>
        <n v="0.853"/>
        <n v="0.456"/>
        <n v="0.475"/>
        <n v="0.852"/>
        <n v="0.835"/>
        <n v="0.0825"/>
        <n v="0.549"/>
        <n v="0.535"/>
        <n v="0.533"/>
        <n v="0.457"/>
        <n v="0.545"/>
        <n v="0.574"/>
        <n v="0.839"/>
        <n v="0.333"/>
        <n v="0.68"/>
        <n v="0.459"/>
        <n v="0.98"/>
        <n v="0.581"/>
        <n v="0.471"/>
        <n v="0.0515"/>
        <n v="0.7"/>
        <n v="0.97"/>
        <n v="0.751"/>
        <n v="0.479"/>
        <n v="0.977"/>
        <n v="0.423"/>
        <n v="0.886"/>
        <n v="0.629"/>
        <n v="0.974"/>
        <n v="0.76"/>
        <n v="0.748"/>
        <n v="0.0024"/>
        <n v="0.534"/>
        <n v="0.622"/>
        <n v="0.85"/>
        <n v="0.381"/>
        <n v="0.994"/>
        <n v="0.788"/>
        <n v="0.653"/>
        <n v="0.451"/>
        <n v="0.00799"/>
        <n v="0.992"/>
        <n v="0.673"/>
        <n v="0.556"/>
        <n v="0.0633"/>
        <n v="0.881"/>
        <n v="0.991"/>
        <n v="0.803"/>
        <n v="0.5"/>
        <n v="0.877"/>
        <n v="0.468"/>
        <n v="0.654"/>
        <n v="0.686"/>
        <n v="0.772"/>
        <n v="0.656"/>
        <n v="0.487"/>
        <n v="0.968"/>
        <n v="0.804"/>
        <n v="0.403"/>
        <n v="0.813"/>
        <n v="0.84"/>
        <n v="0.573"/>
        <n v="0.905"/>
        <n v="0.341"/>
        <n v="0.707"/>
        <n v="0.705"/>
        <n v="0.202"/>
        <n v="0.988"/>
        <n v="0.672"/>
        <n v="0.551"/>
        <n v="0.797"/>
        <n v="0.811"/>
        <n v="0.564"/>
        <n v="0.746"/>
        <n v="0.61"/>
        <n v="0.836"/>
        <n v="0.612"/>
        <n v="0.553"/>
        <n v="0.812"/>
        <n v="0.939"/>
        <n v="0.682"/>
        <n v="0.663"/>
        <n v="0.981"/>
        <n v="0.536"/>
        <n v="0.934"/>
        <n v="0.365"/>
        <n v="0.616"/>
        <n v="0.474"/>
        <n v="0.075"/>
        <n v="0.104"/>
        <n v="0.952"/>
        <n v="0.915"/>
        <n v="0.828"/>
        <n v="0.371"/>
        <n v="0.6"/>
        <n v="0.584"/>
        <n v="0.809"/>
        <n v="0.902"/>
        <n v="0.845"/>
        <n v="0.805"/>
        <n v="0.982"/>
        <n v="0.465"/>
        <n v="0.517"/>
        <n v="0.0656"/>
        <n v="0.582"/>
        <n v="0.698"/>
        <n v="0.983"/>
        <n v="0.667"/>
        <n v="0.648"/>
        <n v="0.0487"/>
        <n v="0.577"/>
        <n v="0.00732"/>
        <n v="0.72"/>
        <n v="0.0536"/>
        <n v="0.918"/>
        <n v="0.947"/>
        <n v="0.639"/>
        <n v="0.986"/>
        <n v="0.941"/>
        <n v="0.715"/>
        <n v="0.708"/>
        <n v="0.758"/>
        <n v="0.425"/>
        <n v="0.567"/>
        <n v="0.569"/>
        <n v="0.719"/>
        <n v="0.558"/>
        <n v="0.847"/>
        <n v="0.00363"/>
        <n v="0.0582"/>
        <n v="0.565"/>
        <n v="0.848"/>
        <n v="0.962"/>
        <n v="0.646"/>
        <n v="0.67"/>
        <n v="0.627"/>
        <n v="0.0287"/>
        <n v="0.155"/>
        <n v="0.129"/>
        <n v="0.0317"/>
        <n v="0.9"/>
        <n v="0.552"/>
        <n v="0.449"/>
        <n v="0.946"/>
        <n v="0.492"/>
        <n v="0.996"/>
        <n v="0.593"/>
        <n v="0.602"/>
        <n v="0.0551"/>
        <n v="0.351"/>
        <n v="0.729"/>
        <n v="0.666"/>
      </sharedItems>
    </cacheField>
    <cacheField name="key" numFmtId="0">
      <sharedItems containsSemiMixedTypes="0" containsString="0" containsNumber="1" containsInteger="1">
        <n v="7.0"/>
        <n v="10.0"/>
        <n v="1.0"/>
        <n v="3.0"/>
        <n v="8.0"/>
        <n v="0.0"/>
        <n v="9.0"/>
        <n v="6.0"/>
        <n v="5.0"/>
        <n v="4.0"/>
        <n v="11.0"/>
        <n v="2.0"/>
      </sharedItems>
    </cacheField>
    <cacheField name="loudness" numFmtId="0">
      <sharedItems containsSemiMixedTypes="0" containsString="0" containsNumber="1">
        <n v="-6.764"/>
        <n v="-7.951"/>
        <n v="-27.528"/>
        <n v="-6.994"/>
        <n v="-7.516"/>
        <n v="-6.415"/>
        <n v="-8.405"/>
        <n v="-6.024"/>
        <n v="-7.063"/>
        <n v="-6.995"/>
        <n v="-7.173"/>
        <n v="-9.19"/>
        <n v="-4.505"/>
        <n v="-5.782"/>
        <n v="-2.336"/>
        <n v="-9.906"/>
        <n v="-5.65"/>
        <n v="-9.482"/>
        <n v="-10.889"/>
        <n v="-5.202"/>
        <n v="-3.832"/>
        <n v="-21.686"/>
        <n v="-8.6"/>
        <n v="-12.028"/>
        <n v="-10.104"/>
        <n v="-7.908"/>
        <n v="-7.712"/>
        <n v="-8.546"/>
        <n v="-4.847"/>
        <n v="-13.553"/>
        <n v="-6.551"/>
        <n v="-12.072"/>
        <n v="-5.138"/>
        <n v="-9.026"/>
        <n v="-8.664"/>
        <n v="-28.493"/>
        <n v="-7.649"/>
        <n v="-4.197"/>
        <n v="-8.582"/>
        <n v="-9.071"/>
        <n v="-8.179"/>
        <n v="-9.795"/>
        <n v="-3.777"/>
        <n v="-5.663"/>
        <n v="-6.237"/>
        <n v="-5.016"/>
        <n v="-6.382"/>
        <n v="-3.645"/>
        <n v="-42.261"/>
        <n v="-5.82"/>
        <n v="-10.264"/>
        <n v="-3.45"/>
        <n v="-8.757"/>
        <n v="-5.781"/>
        <n v="-7.654"/>
        <n v="-7.178"/>
        <n v="-11.121"/>
        <n v="-33.09"/>
        <n v="-7.766"/>
        <n v="-10.431"/>
        <n v="-8.516"/>
        <n v="-23.869"/>
        <n v="-5.491"/>
        <n v="-5.661"/>
        <n v="-3.929"/>
        <n v="-9.805"/>
        <n v="-10.241"/>
        <n v="-9.966"/>
        <n v="-7.373"/>
        <n v="-6.933"/>
        <n v="-8.143"/>
        <n v="-8.706"/>
        <n v="-11.184"/>
        <n v="-9.653"/>
        <n v="-6.289"/>
        <n v="-5.036"/>
        <n v="-5.846"/>
        <n v="-9.311"/>
        <n v="-5.708"/>
        <n v="-5.29"/>
        <n v="-11.893"/>
        <n v="-7.015"/>
        <n v="-12.26"/>
        <n v="-5.777"/>
        <n v="-7.834"/>
        <n v="-17.687"/>
        <n v="-7.29"/>
        <n v="-12.068"/>
        <n v="-13.038"/>
        <n v="-3.071"/>
        <n v="-13.87"/>
        <n v="-5.98"/>
        <n v="-8.639"/>
        <n v="-5.735"/>
        <n v="-9.223"/>
        <n v="-7.446"/>
        <n v="-13.705"/>
        <n v="-4.946"/>
        <n v="-2.762"/>
        <n v="-7.714"/>
        <n v="-8.47"/>
        <n v="-5.363"/>
        <n v="-7.282"/>
        <n v="-10.784"/>
        <n v="-7.76"/>
        <n v="-4.679"/>
        <n v="-13.864"/>
        <n v="-13.826"/>
        <n v="-8.24"/>
        <n v="-20.328"/>
        <n v="-7.017"/>
        <n v="-3.28"/>
        <n v="-19.802"/>
        <n v="-8.631"/>
        <n v="-8.992"/>
        <n v="-9.211"/>
        <n v="-9.965"/>
        <n v="-7.856"/>
        <n v="-8.348"/>
        <n v="-9.959"/>
        <n v="-8.197"/>
        <n v="-5.308"/>
        <n v="-2.901"/>
        <n v="-10.49"/>
        <n v="-7.082"/>
        <n v="-7.911"/>
        <n v="-9.716"/>
        <n v="-7.557"/>
        <n v="-24.81"/>
        <n v="-5.357"/>
        <n v="-7.706"/>
        <n v="-8.466"/>
        <n v="-8.561"/>
        <n v="-5.49"/>
        <n v="-27.675"/>
        <n v="-6.657"/>
        <n v="-16.055"/>
        <n v="-30.908"/>
        <n v="-4.623"/>
        <n v="-6.9"/>
        <n v="-4.86"/>
        <n v="-23.399"/>
        <n v="-8.507"/>
        <n v="-5.888"/>
        <n v="-7.836"/>
        <n v="-8.346"/>
        <n v="-3.598"/>
        <n v="-4.261"/>
        <n v="-5.05"/>
        <n v="-7.112"/>
        <n v="-9.773"/>
        <n v="-6.61"/>
        <n v="-6.835"/>
        <n v="-7.007"/>
        <n v="-6.12"/>
        <n v="-2.588"/>
        <n v="-36.759"/>
        <n v="-25.398"/>
        <n v="-8.884"/>
        <n v="-3.668"/>
        <n v="-8.239"/>
        <n v="-3.063"/>
        <n v="-6.366"/>
        <n v="-8.39"/>
        <n v="-7.464"/>
        <n v="-27.4"/>
        <n v="-17.164"/>
        <n v="-5.335"/>
        <n v="-18.197"/>
        <n v="-35.616"/>
        <n v="-6.199"/>
        <n v="-5.075"/>
        <n v="-9.583"/>
        <n v="-15.485"/>
        <n v="-10.634"/>
        <n v="-3.412"/>
        <n v="-10.775"/>
        <n v="-4.541"/>
        <n v="-9.28"/>
        <n v="-6.262"/>
        <n v="-6.81"/>
        <n v="-4.907"/>
        <n v="-7.585"/>
        <n v="-10.033"/>
        <n v="-5.284"/>
        <n v="-6.602"/>
        <n v="-8.173"/>
        <n v="-5.626"/>
        <n v="-19.494"/>
        <n v="-11.63"/>
        <n v="-11.509"/>
        <n v="-5.838"/>
        <n v="-7.845"/>
      </sharedItems>
    </cacheField>
    <cacheField name="mode" numFmtId="0">
      <sharedItems containsSemiMixedTypes="0" containsString="0" containsNumber="1" containsInteger="1">
        <n v="0.0"/>
        <n v="1.0"/>
      </sharedItems>
    </cacheField>
    <cacheField name="speechiness" numFmtId="0">
      <sharedItems containsSemiMixedTypes="0" containsString="0" containsNumber="1">
        <n v="0.0477"/>
        <n v="0.306"/>
        <n v="0.0419"/>
        <n v="0.0585"/>
        <n v="0.222"/>
        <n v="0.125"/>
        <n v="0.324"/>
        <n v="0.171"/>
        <n v="0.0498"/>
        <n v="0.447"/>
        <n v="0.118"/>
        <n v="0.241"/>
        <n v="0.151"/>
        <n v="0.22"/>
        <n v="0.0741"/>
        <n v="0.0309"/>
        <n v="0.123"/>
        <n v="0.0874"/>
        <n v="0.154"/>
        <n v="0.202"/>
        <n v="0.0695"/>
        <n v="0.0631"/>
        <n v="0.376"/>
        <n v="0.444"/>
        <n v="0.237"/>
        <n v="0.0514"/>
        <n v="0.385"/>
        <n v="0.297"/>
        <n v="0.526"/>
        <n v="0.0774"/>
        <n v="0.153"/>
        <n v="0.339"/>
        <n v="0.0945"/>
        <n v="0.0324"/>
        <n v="0.108"/>
        <n v="0.105"/>
        <n v="0.0806"/>
        <n v="0.273"/>
        <n v="0.0727"/>
        <n v="0.0837"/>
        <n v="0.147"/>
        <n v="0.106"/>
        <n v="0.122"/>
        <n v="0.117"/>
        <n v="0.188"/>
        <n v="0.0531"/>
        <n v="0.0816"/>
        <n v="0.483"/>
        <n v="0.405"/>
        <n v="0.0734"/>
        <n v="0.0802"/>
        <n v="0.131"/>
        <n v="0.069"/>
        <n v="0.292"/>
        <n v="0.0395"/>
        <n v="0.0772"/>
        <n v="0.0693"/>
        <n v="0.191"/>
        <n v="0.0507"/>
        <n v="0.175"/>
        <n v="0.42"/>
        <n v="0.0353"/>
        <n v="0.333"/>
        <n v="0.245"/>
        <n v="0.246"/>
        <n v="0.157"/>
        <n v="0.0595"/>
        <n v="0.0787"/>
        <n v="0.0781"/>
        <n v="0.128"/>
        <n v="0.0635"/>
        <n v="0.29"/>
        <n v="0.097"/>
        <n v="0.0423"/>
        <n v="0.181"/>
        <n v="0.0418"/>
        <n v="0.277"/>
        <n v="0.0827"/>
        <n v="0.0408"/>
        <n v="0.0865"/>
        <n v="0.0619"/>
        <n v="0.0625"/>
        <n v="0.2"/>
        <n v="0.0318"/>
        <n v="0.047"/>
        <n v="0.0313"/>
        <n v="0.271"/>
        <n v="0.0486"/>
        <n v="0.079"/>
        <n v="0.0487"/>
        <n v="0.179"/>
        <n v="0.274"/>
        <n v="0.1"/>
        <n v="0.352"/>
        <n v="0.0793"/>
        <n v="0.0349"/>
        <n v="0.0962"/>
        <n v="0.0356"/>
        <n v="0.032"/>
        <n v="0.276"/>
        <n v="0.0857"/>
        <n v="0.259"/>
        <n v="0.0336"/>
        <n v="0.103"/>
        <n v="0.0718"/>
        <n v="0.0462"/>
        <n v="0.0437"/>
        <n v="0.142"/>
        <n v="0.507"/>
        <n v="0.54"/>
        <n v="0.0302"/>
        <n v="0.0434"/>
        <n v="0.305"/>
        <n v="0.343"/>
        <n v="0.253"/>
        <n v="0.145"/>
        <n v="0.0451"/>
        <n v="0.0467"/>
        <n v="0.0665"/>
        <n v="0.0704"/>
        <n v="0.0818"/>
        <n v="0.0758"/>
        <n v="0.0412"/>
        <n v="0.401"/>
        <n v="0.0535"/>
        <n v="0.0355"/>
        <n v="0.112"/>
        <n v="0.231"/>
        <n v="0.304"/>
        <n v="0.0571"/>
        <n v="0.0959"/>
        <n v="0.095"/>
        <n v="0.0583"/>
        <n v="0.166"/>
        <n v="0.0575"/>
        <n v="0.0662"/>
        <n v="0.102"/>
        <n v="0.261"/>
        <n v="0.416"/>
        <n v="0.0375"/>
        <n v="0.09"/>
        <n v="0.208"/>
        <n v="0.0361"/>
        <n v="0.035"/>
        <n v="0.0578"/>
        <n v="0.23"/>
        <n v="0.158"/>
        <n v="0.264"/>
        <n v="0.0831"/>
        <n v="0.0668"/>
        <n v="0.167"/>
        <n v="0.275"/>
        <n v="0.041"/>
        <n v="0.044"/>
        <n v="0.439"/>
        <n v="0.0407"/>
        <n v="0.308"/>
        <n v="0.0354"/>
        <n v="0.0363"/>
        <n v="0.0376"/>
        <n v="0.326"/>
        <n v="0.0387"/>
        <n v="0.0278"/>
        <n v="0.234"/>
        <n v="0.039"/>
        <n v="0.215"/>
        <n v="0.0909"/>
        <n v="0.0429"/>
        <n v="0.0581"/>
        <n v="0.279"/>
        <n v="0.336"/>
        <n v="0.143"/>
        <n v="0.052"/>
        <n v="0.0565"/>
        <n v="0.0448"/>
        <n v="0.0965"/>
        <n v="0.197"/>
      </sharedItems>
    </cacheField>
    <cacheField name="acousticness" numFmtId="0">
      <sharedItems containsSemiMixedTypes="0" containsString="0" containsNumber="1">
        <n v="0.451"/>
        <n v="0.206"/>
        <n v="0.992"/>
        <n v="0.431"/>
        <n v="0.145"/>
        <n v="0.0404"/>
        <n v="0.555"/>
        <n v="0.0779"/>
        <n v="0.143"/>
        <n v="0.263"/>
        <n v="5.66E-5"/>
        <n v="0.00471"/>
        <n v="0.00146"/>
        <n v="0.584"/>
        <n v="0.0431"/>
        <n v="0.221"/>
        <n v="0.0155"/>
        <n v="0.44"/>
        <n v="0.523"/>
        <n v="0.0555"/>
        <n v="0.165"/>
        <n v="0.983"/>
        <n v="0.268"/>
        <n v="0.274"/>
        <n v="0.747"/>
        <n v="0.0987"/>
        <n v="0.271"/>
        <n v="0.4"/>
        <n v="0.0867"/>
        <n v="0.0608"/>
        <n v="0.392"/>
        <n v="0.0499"/>
        <n v="0.00127"/>
        <n v="0.753"/>
        <n v="0.446"/>
        <n v="0.708"/>
        <n v="0.491"/>
        <n v="4.28E-4"/>
        <n v="0.0182"/>
        <n v="0.208"/>
        <n v="8.18E-5"/>
        <n v="0.832"/>
        <n v="4.5E-4"/>
        <n v="0.241"/>
        <n v="2.32E-5"/>
        <n v="3.19E-4"/>
        <n v="0.174"/>
        <n v="0.995"/>
        <n v="2.94E-5"/>
        <n v="0.639"/>
        <n v="0.153"/>
        <n v="0.185"/>
        <n v="0.653"/>
        <n v="3.69E-5"/>
        <n v="0.191"/>
        <n v="0.335"/>
        <n v="0.0485"/>
        <n v="0.978"/>
        <n v="2.85E-5"/>
        <n v="0.0422"/>
        <n v="0.684"/>
        <n v="1.63E-4"/>
        <n v="1.53E-5"/>
        <n v="0.325"/>
        <n v="0.603"/>
        <n v="0.805"/>
        <n v="0.633"/>
        <n v="0.0275"/>
        <n v="0.597"/>
        <n v="0.0466"/>
        <n v="0.309"/>
        <n v="1.73E-5"/>
        <n v="5.35E-4"/>
        <n v="0.455"/>
        <n v="0.509"/>
        <n v="0.244"/>
        <n v="0.0309"/>
        <n v="0.0931"/>
        <n v="0.499"/>
        <n v="0.167"/>
        <n v="0.277"/>
        <n v="0.984"/>
        <n v="8.35E-5"/>
        <n v="0.0435"/>
        <n v="0.0613"/>
        <n v="0.0648"/>
        <n v="0.23"/>
        <n v="0.0304"/>
        <n v="0.213"/>
        <n v="0.396"/>
        <n v="0.112"/>
        <n v="0.202"/>
        <n v="0.117"/>
        <n v="0.0148"/>
        <n v="0.287"/>
        <n v="6.27E-5"/>
        <n v="8.09E-4"/>
        <n v="0.203"/>
        <n v="3.25E-4"/>
        <n v="0.927"/>
        <n v="0.458"/>
        <n v="0.3"/>
        <n v="0.429"/>
        <n v="0.935"/>
        <n v="2.19E-5"/>
        <n v="9.86E-5"/>
        <n v="0.405"/>
        <n v="0.65"/>
        <n v="0.114"/>
        <n v="0.00308"/>
        <n v="0.279"/>
        <n v="0.0342"/>
        <n v="5.81E-5"/>
        <n v="0.772"/>
        <n v="0.231"/>
        <n v="0.0696"/>
        <n v="0.293"/>
        <n v="3.05E-6"/>
        <n v="0.235"/>
        <n v="0.986"/>
        <n v="0.106"/>
        <n v="0.973"/>
        <n v="0.991"/>
        <n v="0.0617"/>
        <n v="0.00153"/>
        <n v="0.295"/>
        <n v="2.45E-5"/>
        <n v="0.019"/>
        <n v="3.86E-4"/>
        <n v="5.26E-4"/>
        <n v="0.00108"/>
        <n v="0.329"/>
        <n v="0.318"/>
        <n v="0.131"/>
        <n v="0.122"/>
        <n v="5.22E-5"/>
        <n v="0.725"/>
        <n v="0.542"/>
        <n v="0.414"/>
        <n v="0.993"/>
        <n v="0.961"/>
        <n v="0.641"/>
        <n v="0.513"/>
        <n v="0.0104"/>
        <n v="0.00901"/>
        <n v="0.195"/>
        <n v="0.0857"/>
        <n v="0.305"/>
        <n v="0.877"/>
        <n v="0.52"/>
        <n v="0.968"/>
        <n v="0.466"/>
        <n v="2.43E-4"/>
        <n v="0.0791"/>
        <n v="0.0752"/>
        <n v="0.934"/>
        <n v="0.094"/>
        <n v="0.416"/>
        <n v="0.785"/>
        <n v="0.6"/>
        <n v="0.109"/>
        <n v="0.00418"/>
        <n v="4.93E-5"/>
        <n v="0.156"/>
        <n v="0.127"/>
        <n v="5.84E-6"/>
        <n v="0.976"/>
        <n v="0.0192"/>
        <n v="0.951"/>
        <n v="0.0406"/>
        <n v="0.13"/>
      </sharedItems>
    </cacheField>
    <cacheField name="instrumentalness" numFmtId="0">
      <sharedItems containsSemiMixedTypes="0" containsString="0" containsNumber="1">
        <n v="7.34E-4"/>
        <n v="0.0"/>
        <n v="0.897"/>
        <n v="1.18E-6"/>
        <n v="3.96E-5"/>
        <n v="0.00224"/>
        <n v="0.77"/>
        <n v="0.918"/>
        <n v="0.0102"/>
        <n v="2.45E-5"/>
        <n v="0.0749"/>
        <n v="0.00496"/>
        <n v="4.54E-6"/>
        <n v="7.34E-6"/>
        <n v="1.22E-6"/>
        <n v="1.0E-6"/>
        <n v="0.091"/>
        <n v="1.39E-6"/>
        <n v="3.63E-6"/>
        <n v="0.631"/>
        <n v="0.912"/>
        <n v="4.01E-4"/>
        <n v="0.924"/>
        <n v="1.04E-5"/>
        <n v="0.886"/>
        <n v="0.906"/>
        <n v="0.723"/>
        <n v="4.6E-4"/>
        <n v="0.582"/>
        <n v="1.76E-4"/>
        <n v="1.56E-6"/>
        <n v="0.894"/>
        <n v="0.799"/>
        <n v="6.84E-5"/>
        <n v="0.871"/>
        <n v="0.00143"/>
        <n v="0.831"/>
        <n v="6.56E-4"/>
        <n v="1.08E-6"/>
        <n v="0.0187"/>
        <n v="0.338"/>
        <n v="0.472"/>
        <n v="1.41E-6"/>
        <n v="0.0247"/>
        <n v="7.39E-4"/>
        <n v="0.903"/>
        <n v="0.905"/>
        <n v="0.833"/>
        <n v="0.104"/>
        <n v="0.0293"/>
        <n v="1.83E-5"/>
        <n v="0.361"/>
        <n v="3.36E-5"/>
        <n v="0.0236"/>
        <n v="0.00356"/>
        <n v="4.2E-6"/>
        <n v="6.66E-4"/>
        <n v="0.729"/>
        <n v="0.00245"/>
        <n v="0.00558"/>
        <n v="0.853"/>
        <n v="0.907"/>
        <n v="0.0132"/>
        <n v="1.07E-6"/>
        <n v="0.913"/>
        <n v="0.866"/>
        <n v="0.587"/>
        <n v="0.704"/>
        <n v="0.429"/>
        <n v="3.67E-4"/>
        <n v="5.21E-4"/>
        <n v="2.33E-4"/>
        <n v="7.6E-6"/>
        <n v="1.51E-4"/>
        <n v="1.98E-6"/>
        <n v="3.62E-5"/>
        <n v="0.969"/>
        <n v="4.78E-5"/>
        <n v="2.32E-5"/>
        <n v="0.919"/>
        <n v="0.945"/>
        <n v="0.353"/>
        <n v="0.952"/>
        <n v="1.75E-6"/>
        <n v="0.867"/>
        <n v="3.3E-4"/>
        <n v="0.368"/>
        <n v="0.747"/>
        <n v="3.5E-6"/>
        <n v="4.57E-5"/>
        <n v="1.71E-5"/>
        <n v="0.843"/>
        <n v="1.75E-4"/>
        <n v="1.85E-6"/>
        <n v="3.21E-6"/>
        <n v="0.922"/>
        <n v="0.89"/>
        <n v="3.19E-5"/>
        <n v="0.888"/>
        <n v="0.261"/>
        <n v="0.946"/>
        <n v="0.00449"/>
        <n v="0.00142"/>
        <n v="0.0012"/>
        <n v="0.961"/>
        <n v="6.63E-5"/>
        <n v="2.98E-5"/>
        <n v="0.601"/>
        <n v="2.26E-4"/>
        <n v="0.0262"/>
        <n v="0.86"/>
        <n v="0.635"/>
        <n v="1.53E-4"/>
        <n v="9.94E-5"/>
        <n v="4.05E-6"/>
      </sharedItems>
    </cacheField>
    <cacheField name="liveness" numFmtId="0">
      <sharedItems containsSemiMixedTypes="0" containsString="0" containsNumber="1">
        <n v="0.1"/>
        <n v="0.0912"/>
        <n v="0.102"/>
        <n v="0.123"/>
        <n v="0.0753"/>
        <n v="0.114"/>
        <n v="0.175"/>
        <n v="0.0944"/>
        <n v="0.104"/>
        <n v="0.0766"/>
        <n v="0.132"/>
        <n v="0.139"/>
        <n v="0.101"/>
        <n v="0.0789"/>
        <n v="0.179"/>
        <n v="0.105"/>
        <n v="0.072"/>
        <n v="0.113"/>
        <n v="0.0536"/>
        <n v="0.112"/>
        <n v="0.0461"/>
        <n v="0.0984"/>
        <n v="0.0848"/>
        <n v="0.0967"/>
        <n v="0.204"/>
        <n v="0.157"/>
        <n v="0.107"/>
        <n v="0.408"/>
        <n v="0.13"/>
        <n v="0.369"/>
        <n v="0.42"/>
        <n v="0.108"/>
        <n v="0.376"/>
        <n v="0.0418"/>
        <n v="0.0902"/>
        <n v="0.103"/>
        <n v="0.0644"/>
        <n v="0.26"/>
        <n v="0.241"/>
        <n v="0.207"/>
        <n v="0.0942"/>
        <n v="0.0751"/>
        <n v="0.0844"/>
        <n v="0.0917"/>
        <n v="0.149"/>
        <n v="0.116"/>
        <n v="0.0774"/>
        <n v="0.11"/>
        <n v="0.337"/>
        <n v="0.109"/>
        <n v="0.0808"/>
        <n v="0.289"/>
        <n v="0.119"/>
        <n v="0.0831"/>
        <n v="0.23"/>
        <n v="0.368"/>
        <n v="0.0993"/>
        <n v="0.349"/>
        <n v="0.136"/>
        <n v="0.106"/>
        <n v="0.0876"/>
        <n v="0.111"/>
        <n v="0.0748"/>
        <n v="0.169"/>
        <n v="0.097"/>
        <n v="0.0472"/>
        <n v="0.272"/>
        <n v="0.128"/>
        <n v="0.0916"/>
        <n v="0.0607"/>
        <n v="0.355"/>
        <n v="0.359"/>
        <n v="0.0797"/>
        <n v="0.0804"/>
        <n v="0.089"/>
        <n v="0.0377"/>
        <n v="0.061"/>
        <n v="0.0331"/>
        <n v="0.183"/>
        <n v="0.0703"/>
        <n v="0.135"/>
        <n v="0.0892"/>
        <n v="0.249"/>
        <n v="0.126"/>
        <n v="0.0643"/>
        <n v="0.0928"/>
        <n v="0.393"/>
        <n v="0.219"/>
        <n v="0.453"/>
        <n v="0.17"/>
        <n v="0.362"/>
        <n v="0.633"/>
        <n v="0.0839"/>
        <n v="0.0953"/>
        <n v="0.34"/>
        <n v="0.052"/>
        <n v="0.227"/>
        <n v="0.171"/>
        <n v="0.287"/>
        <n v="0.0777"/>
        <n v="0.0699"/>
        <n v="0.0908"/>
        <n v="0.0959"/>
        <n v="0.0599"/>
        <n v="0.117"/>
        <n v="0.0679"/>
        <n v="0.0689"/>
        <n v="0.186"/>
        <n v="0.0968"/>
        <n v="0.0484"/>
        <n v="0.0453"/>
        <n v="0.0522"/>
        <n v="0.43"/>
        <n v="0.31"/>
        <n v="0.182"/>
        <n v="0.093"/>
        <n v="0.156"/>
        <n v="0.0726"/>
        <n v="0.0768"/>
        <n v="0.12"/>
        <n v="0.0934"/>
        <n v="0.406"/>
        <n v="0.137"/>
        <n v="0.0941"/>
        <n v="0.0688"/>
        <n v="0.065"/>
        <n v="0.0502"/>
        <n v="0.078"/>
        <n v="0.0874"/>
        <n v="0.18"/>
        <n v="0.0974"/>
        <n v="0.21"/>
        <n v="0.554"/>
        <n v="0.354"/>
        <n v="0.15"/>
        <n v="0.0697"/>
        <n v="0.0825"/>
        <n v="0.0623"/>
        <n v="0.058"/>
        <n v="0.146"/>
        <n v="0.187"/>
        <n v="0.0841"/>
        <n v="0.0958"/>
        <n v="0.0819"/>
        <n v="0.0737"/>
        <n v="0.115"/>
        <n v="0.0653"/>
        <n v="0.0465"/>
        <n v="0.118"/>
        <n v="0.194"/>
        <n v="0.36"/>
      </sharedItems>
    </cacheField>
    <cacheField name="valence" numFmtId="0">
      <sharedItems containsSemiMixedTypes="0" containsString="0" containsNumber="1">
        <n v="0.628"/>
        <n v="0.519"/>
        <n v="0.0382"/>
        <n v="0.582"/>
        <n v="0.647"/>
        <n v="0.827"/>
        <n v="0.776"/>
        <n v="0.904"/>
        <n v="0.308"/>
        <n v="0.745"/>
        <n v="0.178"/>
        <n v="0.676"/>
        <n v="0.234"/>
        <n v="0.191"/>
        <n v="0.692"/>
        <n v="0.777"/>
        <n v="0.734"/>
        <n v="0.124"/>
        <n v="0.235"/>
        <n v="0.48"/>
        <n v="0.609"/>
        <n v="0.37"/>
        <n v="0.498"/>
        <n v="0.205"/>
        <n v="0.422"/>
        <n v="0.193"/>
        <n v="0.113"/>
        <n v="0.756"/>
        <n v="0.804"/>
        <n v="0.313"/>
        <n v="0.567"/>
        <n v="0.525"/>
        <n v="0.257"/>
        <n v="0.351"/>
        <n v="0.682"/>
        <n v="0.154"/>
        <n v="0.769"/>
        <n v="0.381"/>
        <n v="0.863"/>
        <n v="0.719"/>
        <n v="0.449"/>
        <n v="0.712"/>
        <n v="0.395"/>
        <n v="0.724"/>
        <n v="0.33"/>
        <n v="0.34"/>
        <n v="0.813"/>
        <n v="0.267"/>
        <n v="0.399"/>
        <n v="0.556"/>
        <n v="0.638"/>
        <n v="0.357"/>
        <n v="0.166"/>
        <n v="0.139"/>
        <n v="0.328"/>
        <n v="0.639"/>
        <n v="0.506"/>
        <n v="0.0674"/>
        <n v="0.318"/>
        <n v="0.59"/>
        <n v="0.591"/>
        <n v="0.0384"/>
        <n v="0.0718"/>
        <n v="0.414"/>
        <n v="0.492"/>
        <n v="0.922"/>
        <n v="0.716"/>
        <n v="0.64"/>
        <n v="0.619"/>
        <n v="0.752"/>
        <n v="0.561"/>
        <n v="0.931"/>
        <n v="0.375"/>
        <n v="0.535"/>
        <n v="0.339"/>
        <n v="0.566"/>
        <n v="0.331"/>
        <n v="0.705"/>
        <n v="0.494"/>
        <n v="0.897"/>
        <n v="0.521"/>
        <n v="0.163"/>
        <n v="0.228"/>
        <n v="0.12"/>
        <n v="0.933"/>
        <n v="0.969"/>
        <n v="0.654"/>
        <n v="0.962"/>
        <n v="0.394"/>
        <n v="0.965"/>
        <n v="0.443"/>
        <n v="0.831"/>
        <n v="0.252"/>
        <n v="0.89"/>
        <n v="0.742"/>
        <n v="0.805"/>
        <n v="0.136"/>
        <n v="0.415"/>
        <n v="0.683"/>
        <n v="0.275"/>
        <n v="0.451"/>
        <n v="0.766"/>
        <n v="0.18"/>
        <n v="0.126"/>
        <n v="0.851"/>
        <n v="0.558"/>
        <n v="0.0353"/>
        <n v="0.785"/>
        <n v="0.176"/>
        <n v="0.0724"/>
        <n v="0.482"/>
        <n v="0.768"/>
        <n v="0.197"/>
        <n v="0.539"/>
        <n v="0.58"/>
        <n v="0.366"/>
        <n v="0.98"/>
        <n v="0.271"/>
        <n v="0.633"/>
        <n v="0.753"/>
        <n v="0.283"/>
        <n v="0.407"/>
        <n v="0.0761"/>
        <n v="0.844"/>
        <n v="0.119"/>
        <n v="0.316"/>
        <n v="0.402"/>
        <n v="0.658"/>
        <n v="0.101"/>
        <n v="0.848"/>
        <n v="0.974"/>
        <n v="0.0964"/>
        <n v="0.586"/>
        <n v="0.577"/>
        <n v="0.761"/>
        <n v="0.0417"/>
        <n v="0.802"/>
        <n v="0.334"/>
        <n v="0.758"/>
        <n v="0.302"/>
        <n v="0.503"/>
        <n v="0.767"/>
        <n v="0.723"/>
        <n v="0.538"/>
        <n v="0.659"/>
        <n v="0.368"/>
        <n v="0.359"/>
        <n v="0.429"/>
        <n v="0.537"/>
        <n v="0.743"/>
        <n v="0.085"/>
        <n v="0.0454"/>
        <n v="0.652"/>
        <n v="0.691"/>
        <n v="0.966"/>
        <n v="0.645"/>
        <n v="0.0371"/>
        <n v="0.222"/>
        <n v="0.665"/>
        <n v="0.296"/>
        <n v="0.142"/>
        <n v="0.551"/>
        <n v="0.177"/>
        <n v="0.947"/>
        <n v="0.961"/>
        <n v="0.036"/>
        <n v="0.587"/>
        <n v="0.649"/>
        <n v="0.631"/>
        <n v="0.815"/>
        <n v="0.861"/>
        <n v="0.0468"/>
        <n v="0.39"/>
        <n v="0.153"/>
        <n v="0.0888"/>
        <n v="0.22"/>
        <n v="0.105"/>
        <n v="0.143"/>
        <n v="0.882"/>
        <n v="0.616"/>
        <n v="0.413"/>
        <n v="0.531"/>
      </sharedItems>
    </cacheField>
    <cacheField name="tempo" numFmtId="0">
      <sharedItems containsSemiMixedTypes="0" containsString="0" containsNumber="1">
        <n v="95.968"/>
        <n v="151.329"/>
        <n v="75.296"/>
        <n v="89.86"/>
        <n v="155.117"/>
        <n v="140.951"/>
        <n v="74.974"/>
        <n v="104.964"/>
        <n v="112.019"/>
        <n v="157.995"/>
        <n v="127.693"/>
        <n v="147.942"/>
        <n v="102.757"/>
        <n v="168.849"/>
        <n v="134.992"/>
        <n v="106.023"/>
        <n v="142.03"/>
        <n v="94.032"/>
        <n v="117.006"/>
        <n v="136.035"/>
        <n v="150.04"/>
        <n v="106.275"/>
        <n v="138.984"/>
        <n v="180.036"/>
        <n v="155.999"/>
        <n v="101.052"/>
        <n v="76.503"/>
        <n v="151.974"/>
        <n v="172.068"/>
        <n v="148.168"/>
        <n v="75.445"/>
        <n v="159.021"/>
        <n v="79.792"/>
        <n v="76.506"/>
        <n v="70.702"/>
        <n v="128.056"/>
        <n v="82.028"/>
        <n v="119.215"/>
        <n v="100.437"/>
        <n v="146.049"/>
        <n v="137.681"/>
        <n v="75.026"/>
        <n v="126.025"/>
        <n v="94.008"/>
        <n v="93.771"/>
        <n v="97.346"/>
        <n v="99.974"/>
        <n v="121.063"/>
        <n v="71.428"/>
        <n v="107.877"/>
        <n v="170.054"/>
        <n v="84.991"/>
        <n v="152.018"/>
        <n v="84.907"/>
        <n v="108.017"/>
        <n v="139.959"/>
        <n v="139.981"/>
        <n v="150.035"/>
        <n v="101.226"/>
        <n v="142.891"/>
        <n v="102.035"/>
        <n v="150.067"/>
        <n v="129.466"/>
        <n v="148.084"/>
        <n v="94.443"/>
        <n v="97.51"/>
        <n v="130.027"/>
        <n v="108.674"/>
        <n v="82.795"/>
        <n v="145.121"/>
        <n v="123.041"/>
        <n v="154.986"/>
        <n v="139.98"/>
        <n v="121.112"/>
        <n v="169.985"/>
        <n v="103.965"/>
        <n v="172.059"/>
        <n v="146.079"/>
        <n v="138.013"/>
        <n v="154.062"/>
        <n v="136.059"/>
        <n v="81.548"/>
        <n v="150.991"/>
        <n v="105.513"/>
        <n v="146.154"/>
        <n v="103.048"/>
        <n v="71.462"/>
        <n v="99.046"/>
        <n v="109.394"/>
        <n v="126.009"/>
        <n v="110.882"/>
        <n v="112.126"/>
        <n v="108.004"/>
        <n v="128.553"/>
        <n v="140.006"/>
        <n v="108.966"/>
        <n v="97.989"/>
        <n v="119.825"/>
        <n v="139.961"/>
        <n v="142.948"/>
        <n v="103.037"/>
        <n v="132.012"/>
        <n v="152.085"/>
        <n v="99.338"/>
        <n v="100.047"/>
        <n v="106.684"/>
        <n v="112.834"/>
        <n v="91.187"/>
        <n v="114.223"/>
        <n v="138.027"/>
        <n v="68.232"/>
        <n v="149.974"/>
        <n v="99.97"/>
        <n v="92.628"/>
        <n v="144.481"/>
        <n v="101.017"/>
        <n v="110.071"/>
        <n v="127.966"/>
        <n v="75.006"/>
        <n v="129.433"/>
        <n v="119.303"/>
        <n v="125.941"/>
        <n v="100.007"/>
        <n v="142.012"/>
        <n v="124.906"/>
        <n v="131.716"/>
        <n v="136.707"/>
        <n v="103.025"/>
        <n v="120.914"/>
        <n v="65.023"/>
        <n v="126.063"/>
        <n v="119.963"/>
        <n v="179.661"/>
        <n v="134.985"/>
        <n v="149.978"/>
        <n v="134.839"/>
        <n v="140.002"/>
        <n v="144.489"/>
        <n v="60.171"/>
        <n v="137.043"/>
        <n v="170.103"/>
        <n v="140.041"/>
        <n v="71.286"/>
        <n v="172.435"/>
        <n v="60.631"/>
        <n v="157.738"/>
        <n v="86.179"/>
        <n v="156.033"/>
        <n v="140.061"/>
        <n v="131.001"/>
        <n v="114.969"/>
        <n v="73.679"/>
        <n v="96.969"/>
        <n v="109.041"/>
        <n v="143.971"/>
        <n v="153.99"/>
        <n v="120.527"/>
        <n v="69.363"/>
        <n v="132.614"/>
        <n v="79.993"/>
        <n v="120.026"/>
        <n v="125.059"/>
        <n v="164.032"/>
        <n v="110.842"/>
        <n v="151.124"/>
        <n v="155.03"/>
        <n v="67.446"/>
        <n v="122.437"/>
        <n v="147.039"/>
        <n v="136.871"/>
        <n v="135.974"/>
        <n v="132.979"/>
        <n v="140.046"/>
        <n v="108.698"/>
        <n v="103.604"/>
        <n v="92.468"/>
        <n v="139.943"/>
        <n v="156.99"/>
        <n v="90.056"/>
        <n v="108.628"/>
        <n v="143.975"/>
        <n v="145.009"/>
        <n v="94.992"/>
        <n v="115.908"/>
        <n v="127.667"/>
        <n v="128.646"/>
        <n v="140.025"/>
        <n v="142.95"/>
        <n v="115.077"/>
        <n v="176.616"/>
        <n v="124.896"/>
        <n v="90.664"/>
        <n v="110.547"/>
        <n v="77.507"/>
      </sharedItems>
    </cacheField>
    <cacheField name="duration_ms" numFmtId="0">
      <sharedItems containsSemiMixedTypes="0" containsString="0" containsNumber="1" containsInteger="1">
        <n v="304524.0"/>
        <n v="247178.0"/>
        <n v="286987.0"/>
        <n v="208920.0"/>
        <n v="179413.0"/>
        <n v="224029.0"/>
        <n v="146053.0"/>
        <n v="161800.0"/>
        <n v="247460.0"/>
        <n v="165363.0"/>
        <n v="182427.0"/>
        <n v="225000.0"/>
        <n v="170520.0"/>
        <n v="185667.0"/>
        <n v="178013.0"/>
        <n v="234267.0"/>
        <n v="136901.0"/>
        <n v="314367.0"/>
        <n v="201384.0"/>
        <n v="102353.0"/>
        <n v="139240.0"/>
        <n v="270000.0"/>
        <n v="184627.0"/>
        <n v="176000.0"/>
        <n v="225953.0"/>
        <n v="210733.0"/>
        <n v="240924.0"/>
        <n v="185493.0"/>
        <n v="111000.0"/>
        <n v="98615.0"/>
        <n v="168574.0"/>
        <n v="186415.0"/>
        <n v="270920.0"/>
        <n v="169347.0"/>
        <n v="165800.0"/>
        <n v="125533.0"/>
        <n v="190067.0"/>
        <n v="123880.0"/>
        <n v="244827.0"/>
        <n v="134554.0"/>
        <n v="194160.0"/>
        <n v="194000.0"/>
        <n v="229933.0"/>
        <n v="207772.0"/>
        <n v="257390.0"/>
        <n v="211947.0"/>
        <n v="216285.0"/>
        <n v="209667.0"/>
        <n v="397773.0"/>
        <n v="186576.0"/>
        <n v="146480.0"/>
        <n v="163765.0"/>
        <n v="178809.0"/>
        <n v="325556.0"/>
        <n v="247564.0"/>
        <n v="219077.0"/>
        <n v="199093.0"/>
        <n v="167062.0"/>
        <n v="216093.0"/>
        <n v="237093.0"/>
        <n v="197693.0"/>
        <n v="187006.0"/>
        <n v="199133.0"/>
        <n v="187322.0"/>
        <n v="244239.0"/>
        <n v="191133.0"/>
        <n v="170582.0"/>
        <n v="185107.0"/>
        <n v="179253.0"/>
        <n v="172520.0"/>
        <n v="106000.0"/>
        <n v="195344.0"/>
        <n v="224496.0"/>
        <n v="215653.0"/>
        <n v="186353.0"/>
        <n v="250262.0"/>
        <n v="284400.0"/>
        <n v="178588.0"/>
        <n v="173120.0"/>
        <n v="217760.0"/>
        <n v="84000.0"/>
        <n v="231333.0"/>
        <n v="179107.0"/>
        <n v="151507.0"/>
        <n v="190685.0"/>
        <n v="233597.0"/>
        <n v="545747.0"/>
        <n v="221960.0"/>
        <n v="300000.0"/>
        <n v="491933.0"/>
        <n v="218732.0"/>
        <n v="186573.0"/>
        <n v="254218.0"/>
        <n v="655213.0"/>
        <n v="197613.0"/>
        <n v="222667.0"/>
        <n v="243956.0"/>
        <n v="215693.0"/>
        <n v="194973.0"/>
        <n v="356347.0"/>
        <n v="230013.0"/>
        <n v="100000.0"/>
        <n v="162960.0"/>
        <n v="375307.0"/>
        <n v="149000.0"/>
        <n v="246760.0"/>
        <n v="225867.0"/>
        <n v="183667.0"/>
        <n v="226333.0"/>
        <n v="241187.0"/>
        <n v="192107.0"/>
        <n v="194138.0"/>
        <n v="310000.0"/>
        <n v="206120.0"/>
        <n v="228733.0"/>
        <n v="323347.0"/>
        <n v="316546.0"/>
        <n v="183891.0"/>
        <n v="203048.0"/>
        <n v="209440.0"/>
        <n v="214827.0"/>
        <n v="186041.0"/>
        <n v="190986.0"/>
        <n v="88320.0"/>
        <n v="149422.0"/>
        <n v="126333.0"/>
        <n v="256281.0"/>
        <n v="285627.0"/>
        <n v="150147.0"/>
        <n v="249598.0"/>
        <n v="247161.0"/>
        <n v="183827.0"/>
        <n v="85333.0"/>
        <n v="180000.0"/>
        <n v="203656.0"/>
        <n v="166853.0"/>
        <n v="210680.0"/>
        <n v="241987.0"/>
        <n v="214456.0"/>
        <n v="204000.0"/>
        <n v="197674.0"/>
        <n v="234467.0"/>
        <n v="249960.0"/>
        <n v="272995.0"/>
        <n v="247440.0"/>
        <n v="245773.0"/>
        <n v="232067.0"/>
        <n v="183428.0"/>
        <n v="203813.0"/>
        <n v="207907.0"/>
        <n v="268347.0"/>
        <n v="94054.0"/>
        <n v="242760.0"/>
        <n v="252373.0"/>
        <n v="149013.0"/>
        <n v="204179.0"/>
        <n v="228120.0"/>
        <n v="254000.0"/>
        <n v="357707.0"/>
        <n v="171000.0"/>
        <n v="184000.0"/>
        <n v="130560.0"/>
        <n v="208827.0"/>
        <n v="213427.0"/>
        <n v="209801.0"/>
        <n v="150915.0"/>
        <n v="328000.0"/>
        <n v="301720.0"/>
        <n v="145853.0"/>
        <n v="169924.0"/>
        <n v="150733.0"/>
        <n v="173987.0"/>
        <n v="216033.0"/>
        <n v="281667.0"/>
        <n v="315427.0"/>
        <n v="200571.0"/>
        <n v="95533.0"/>
        <n v="186720.0"/>
        <n v="248440.0"/>
        <n v="230854.0"/>
        <n v="190000.0"/>
        <n v="211693.0"/>
        <n v="352627.0"/>
        <n v="316378.0"/>
        <n v="158547.0"/>
        <n v="190972.0"/>
        <n v="77203.0"/>
        <n v="285907.0"/>
        <n v="206520.0"/>
        <n v="254240.0"/>
        <n v="235947.0"/>
        <n v="190239.0"/>
        <n v="177213.0"/>
      </sharedItems>
    </cacheField>
    <cacheField name="time_signature" numFmtId="0">
      <sharedItems containsSemiMixedTypes="0" containsString="0" containsNumber="1" containsInteger="1">
        <n v="4.0"/>
        <n v="5.0"/>
        <n v="3.0"/>
        <n v="1.0"/>
      </sharedItems>
    </cacheField>
    <cacheField name="liked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lc_Data" cacheId="0" dataCaption="" rowGrandTotals="0" compact="0" compactData="0">
  <location ref="A1:D3" firstHeaderRow="0" firstDataRow="2" firstDataCol="0"/>
  <pivotFields>
    <pivotField name="danceabil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energ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k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oudn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mode" compact="0" outline="0" multipleItemSelectionAllowed="1" showAll="0">
      <items>
        <item x="0"/>
        <item x="1"/>
        <item t="default"/>
      </items>
    </pivotField>
    <pivotField name="speechin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acousticn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instrumentaln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liven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val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temp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duration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time_signature" compact="0" outline="0" multipleItemSelectionAllowed="1" showAll="0">
      <items>
        <item x="0"/>
        <item x="1"/>
        <item x="2"/>
        <item x="3"/>
        <item t="default"/>
      </items>
    </pivotField>
    <pivotField name="liked" axis="axisRow" compact="0" outline="0" multipleItemSelectionAllowed="1" showAll="0" sortType="ascending">
      <items>
        <item x="0"/>
        <item x="1"/>
        <item t="default"/>
      </items>
    </pivotField>
  </pivotFields>
  <rowFields>
    <field x="13"/>
  </rowFields>
  <colFields>
    <field x="-2"/>
  </colFields>
  <dataFields>
    <dataField name="Avg Tempo" fld="10" subtotal="average" baseField="0"/>
    <dataField name="Avg Energy" fld="1" subtotal="average" baseField="0"/>
    <dataField name="Avg Danceability" fld="0" subtotal="average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Calc_Data 2" cacheId="0" dataCaption="" rowGrandTotals="0" compact="0" compactData="0">
  <location ref="A9:C11" firstHeaderRow="0" firstDataRow="2" firstDataCol="0"/>
  <pivotFields>
    <pivotField name="dance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energ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k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oudn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mode" compact="0" outline="0" multipleItemSelectionAllowed="1" showAll="0">
      <items>
        <item x="0"/>
        <item x="1"/>
        <item t="default"/>
      </items>
    </pivotField>
    <pivotField name="speechin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acousticne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t="default"/>
      </items>
    </pivotField>
    <pivotField name="instrumentalnes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liven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val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tem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duration_m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time_signature" compact="0" outline="0" multipleItemSelectionAllowed="1" showAll="0">
      <items>
        <item x="0"/>
        <item x="1"/>
        <item x="2"/>
        <item x="3"/>
        <item t="default"/>
      </items>
    </pivotField>
    <pivotField name="liked" axis="axisRow" compact="0" outline="0" multipleItemSelectionAllowed="1" showAll="0" sortType="ascending">
      <items>
        <item x="0"/>
        <item x="1"/>
        <item t="default"/>
      </items>
    </pivotField>
  </pivotFields>
  <rowFields>
    <field x="13"/>
  </rowFields>
  <colFields>
    <field x="-2"/>
  </colFields>
  <dataFields>
    <dataField name="Avg Acousticness" fld="6" subtotal="average" baseField="0"/>
    <dataField name="Avg Instrumentalness" fld="7" subtotal="average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:N196" displayName="Table1" name="Table1" id="2">
  <tableColumns count="14">
    <tableColumn name="danceability" id="1"/>
    <tableColumn name="energy" id="2"/>
    <tableColumn name="key" id="3"/>
    <tableColumn name="loudness" id="4"/>
    <tableColumn name="mode" id="5"/>
    <tableColumn name="speechiness" id="6"/>
    <tableColumn name="acousticness" id="7"/>
    <tableColumn name="instrumentalness" id="8"/>
    <tableColumn name="liveness" id="9"/>
    <tableColumn name="valence" id="10"/>
    <tableColumn name="tempo" id="11"/>
    <tableColumn name="duration_ms" id="12"/>
    <tableColumn name="time_signature" id="13"/>
    <tableColumn name="liked" id="14"/>
  </tableColumns>
  <tableStyleInfo name="Raw_Data.csv-style" showColumnStripes="0" showFirstColumn="1" showLastColumn="1" showRowStripes="1"/>
</table>
</file>

<file path=xl/tables/table2.xml><?xml version="1.0" encoding="utf-8"?>
<table xmlns="http://schemas.openxmlformats.org/spreadsheetml/2006/main" ref="G1:J9" displayName="Musical_Attribute_Statistics" name="Musical_Attribute_Statistics" id="1">
  <tableColumns count="4">
    <tableColumn name="Metric" id="1"/>
    <tableColumn name="Average" id="2"/>
    <tableColumn name="Max" id="3"/>
    <tableColumn name="Min" id="4"/>
  </tableColumns>
  <tableStyleInfo name="Calc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6" max="6" width="14.75"/>
    <col customWidth="1" min="7" max="7" width="15.38"/>
    <col customWidth="1" min="8" max="8" width="18.38"/>
    <col customWidth="1" min="12" max="12" width="14.75"/>
    <col customWidth="1" min="13" max="13" width="16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0.803</v>
      </c>
      <c r="B2" s="2">
        <v>0.624</v>
      </c>
      <c r="C2" s="2">
        <v>7.0</v>
      </c>
      <c r="D2" s="2">
        <v>-6.764</v>
      </c>
      <c r="E2" s="2">
        <v>0.0</v>
      </c>
      <c r="F2" s="2">
        <v>0.0477</v>
      </c>
      <c r="G2" s="2">
        <v>0.451</v>
      </c>
      <c r="H2" s="2">
        <v>7.34E-4</v>
      </c>
      <c r="I2" s="2">
        <v>0.1</v>
      </c>
      <c r="J2" s="2">
        <v>0.628</v>
      </c>
      <c r="K2" s="2">
        <v>95.968</v>
      </c>
      <c r="L2" s="2">
        <v>304524.0</v>
      </c>
      <c r="M2" s="2">
        <v>4.0</v>
      </c>
      <c r="N2" s="2">
        <v>0.0</v>
      </c>
    </row>
    <row r="3" ht="22.5" customHeight="1">
      <c r="A3" s="2">
        <v>0.762</v>
      </c>
      <c r="B3" s="2">
        <v>0.703</v>
      </c>
      <c r="C3" s="2">
        <v>10.0</v>
      </c>
      <c r="D3" s="2">
        <v>-7.951</v>
      </c>
      <c r="E3" s="2">
        <v>0.0</v>
      </c>
      <c r="F3" s="2">
        <v>0.306</v>
      </c>
      <c r="G3" s="2">
        <v>0.206</v>
      </c>
      <c r="H3" s="2">
        <v>0.0</v>
      </c>
      <c r="I3" s="2">
        <v>0.0912</v>
      </c>
      <c r="J3" s="2">
        <v>0.519</v>
      </c>
      <c r="K3" s="2">
        <v>151.329</v>
      </c>
      <c r="L3" s="2">
        <v>247178.0</v>
      </c>
      <c r="M3" s="2">
        <v>4.0</v>
      </c>
      <c r="N3" s="2">
        <v>1.0</v>
      </c>
    </row>
    <row r="4" ht="22.5" customHeight="1">
      <c r="A4" s="2">
        <v>0.261</v>
      </c>
      <c r="B4" s="2">
        <v>0.0149</v>
      </c>
      <c r="C4" s="2">
        <v>1.0</v>
      </c>
      <c r="D4" s="2">
        <v>-27.528</v>
      </c>
      <c r="E4" s="2">
        <v>1.0</v>
      </c>
      <c r="F4" s="2">
        <v>0.0419</v>
      </c>
      <c r="G4" s="2">
        <v>0.992</v>
      </c>
      <c r="H4" s="2">
        <v>0.897</v>
      </c>
      <c r="I4" s="2">
        <v>0.102</v>
      </c>
      <c r="J4" s="2">
        <v>0.0382</v>
      </c>
      <c r="K4" s="2">
        <v>75.296</v>
      </c>
      <c r="L4" s="2">
        <v>286987.0</v>
      </c>
      <c r="M4" s="2">
        <v>4.0</v>
      </c>
      <c r="N4" s="2">
        <v>0.0</v>
      </c>
    </row>
    <row r="5" ht="22.5" customHeight="1">
      <c r="A5" s="2">
        <v>0.722</v>
      </c>
      <c r="B5" s="2">
        <v>0.736</v>
      </c>
      <c r="C5" s="2">
        <v>3.0</v>
      </c>
      <c r="D5" s="2">
        <v>-6.994</v>
      </c>
      <c r="E5" s="2">
        <v>0.0</v>
      </c>
      <c r="F5" s="2">
        <v>0.0585</v>
      </c>
      <c r="G5" s="2">
        <v>0.431</v>
      </c>
      <c r="H5" s="5">
        <v>1.18E-6</v>
      </c>
      <c r="I5" s="2">
        <v>0.123</v>
      </c>
      <c r="J5" s="2">
        <v>0.582</v>
      </c>
      <c r="K5" s="2">
        <v>89.86</v>
      </c>
      <c r="L5" s="2">
        <v>208920.0</v>
      </c>
      <c r="M5" s="2">
        <v>4.0</v>
      </c>
      <c r="N5" s="2">
        <v>1.0</v>
      </c>
    </row>
    <row r="6" ht="22.5" customHeight="1">
      <c r="A6" s="2">
        <v>0.787</v>
      </c>
      <c r="B6" s="2">
        <v>0.572</v>
      </c>
      <c r="C6" s="2">
        <v>1.0</v>
      </c>
      <c r="D6" s="2">
        <v>-7.516</v>
      </c>
      <c r="E6" s="2">
        <v>1.0</v>
      </c>
      <c r="F6" s="2">
        <v>0.222</v>
      </c>
      <c r="G6" s="2">
        <v>0.145</v>
      </c>
      <c r="H6" s="2">
        <v>0.0</v>
      </c>
      <c r="I6" s="2">
        <v>0.0753</v>
      </c>
      <c r="J6" s="2">
        <v>0.647</v>
      </c>
      <c r="K6" s="2">
        <v>155.117</v>
      </c>
      <c r="L6" s="2">
        <v>179413.0</v>
      </c>
      <c r="M6" s="2">
        <v>4.0</v>
      </c>
      <c r="N6" s="2">
        <v>1.0</v>
      </c>
    </row>
    <row r="7" ht="22.5" customHeight="1">
      <c r="A7" s="2">
        <v>0.778</v>
      </c>
      <c r="B7" s="2">
        <v>0.632</v>
      </c>
      <c r="C7" s="2">
        <v>8.0</v>
      </c>
      <c r="D7" s="2">
        <v>-6.415</v>
      </c>
      <c r="E7" s="2">
        <v>1.0</v>
      </c>
      <c r="F7" s="2">
        <v>0.125</v>
      </c>
      <c r="G7" s="2">
        <v>0.0404</v>
      </c>
      <c r="H7" s="2">
        <v>0.0</v>
      </c>
      <c r="I7" s="2">
        <v>0.0912</v>
      </c>
      <c r="J7" s="2">
        <v>0.827</v>
      </c>
      <c r="K7" s="2">
        <v>140.951</v>
      </c>
      <c r="L7" s="2">
        <v>224029.0</v>
      </c>
      <c r="M7" s="2">
        <v>4.0</v>
      </c>
      <c r="N7" s="2">
        <v>1.0</v>
      </c>
    </row>
    <row r="8" ht="22.5" customHeight="1">
      <c r="A8" s="2">
        <v>0.666</v>
      </c>
      <c r="B8" s="2">
        <v>0.589</v>
      </c>
      <c r="C8" s="2">
        <v>0.0</v>
      </c>
      <c r="D8" s="2">
        <v>-8.405</v>
      </c>
      <c r="E8" s="2">
        <v>0.0</v>
      </c>
      <c r="F8" s="2">
        <v>0.324</v>
      </c>
      <c r="G8" s="2">
        <v>0.555</v>
      </c>
      <c r="H8" s="2">
        <v>0.0</v>
      </c>
      <c r="I8" s="2">
        <v>0.114</v>
      </c>
      <c r="J8" s="2">
        <v>0.776</v>
      </c>
      <c r="K8" s="2">
        <v>74.974</v>
      </c>
      <c r="L8" s="2">
        <v>146053.0</v>
      </c>
      <c r="M8" s="2">
        <v>4.0</v>
      </c>
      <c r="N8" s="2">
        <v>1.0</v>
      </c>
    </row>
    <row r="9" ht="22.5" customHeight="1">
      <c r="A9" s="2">
        <v>0.922</v>
      </c>
      <c r="B9" s="2">
        <v>0.712</v>
      </c>
      <c r="C9" s="2">
        <v>7.0</v>
      </c>
      <c r="D9" s="2">
        <v>-6.024</v>
      </c>
      <c r="E9" s="2">
        <v>1.0</v>
      </c>
      <c r="F9" s="2">
        <v>0.171</v>
      </c>
      <c r="G9" s="2">
        <v>0.0779</v>
      </c>
      <c r="H9" s="5">
        <v>3.96E-5</v>
      </c>
      <c r="I9" s="2">
        <v>0.175</v>
      </c>
      <c r="J9" s="2">
        <v>0.904</v>
      </c>
      <c r="K9" s="2">
        <v>104.964</v>
      </c>
      <c r="L9" s="2">
        <v>161800.0</v>
      </c>
      <c r="M9" s="2">
        <v>4.0</v>
      </c>
      <c r="N9" s="2">
        <v>1.0</v>
      </c>
    </row>
    <row r="10" ht="22.5" customHeight="1">
      <c r="A10" s="2">
        <v>0.794</v>
      </c>
      <c r="B10" s="2">
        <v>0.659</v>
      </c>
      <c r="C10" s="2">
        <v>7.0</v>
      </c>
      <c r="D10" s="2">
        <v>-7.063</v>
      </c>
      <c r="E10" s="2">
        <v>0.0</v>
      </c>
      <c r="F10" s="2">
        <v>0.0498</v>
      </c>
      <c r="G10" s="2">
        <v>0.143</v>
      </c>
      <c r="H10" s="2">
        <v>0.00224</v>
      </c>
      <c r="I10" s="2">
        <v>0.0944</v>
      </c>
      <c r="J10" s="2">
        <v>0.308</v>
      </c>
      <c r="K10" s="2">
        <v>112.019</v>
      </c>
      <c r="L10" s="2">
        <v>247460.0</v>
      </c>
      <c r="M10" s="2">
        <v>4.0</v>
      </c>
      <c r="N10" s="2">
        <v>0.0</v>
      </c>
    </row>
    <row r="11" ht="22.5" customHeight="1">
      <c r="A11" s="2">
        <v>0.853</v>
      </c>
      <c r="B11" s="2">
        <v>0.668</v>
      </c>
      <c r="C11" s="2">
        <v>3.0</v>
      </c>
      <c r="D11" s="2">
        <v>-6.995</v>
      </c>
      <c r="E11" s="2">
        <v>1.0</v>
      </c>
      <c r="F11" s="2">
        <v>0.447</v>
      </c>
      <c r="G11" s="2">
        <v>0.263</v>
      </c>
      <c r="H11" s="2">
        <v>0.0</v>
      </c>
      <c r="I11" s="2">
        <v>0.104</v>
      </c>
      <c r="J11" s="2">
        <v>0.745</v>
      </c>
      <c r="K11" s="2">
        <v>157.995</v>
      </c>
      <c r="L11" s="2">
        <v>165363.0</v>
      </c>
      <c r="M11" s="2">
        <v>4.0</v>
      </c>
      <c r="N11" s="2">
        <v>1.0</v>
      </c>
    </row>
    <row r="12" ht="22.5" customHeight="1">
      <c r="A12" s="2">
        <v>0.297</v>
      </c>
      <c r="B12" s="2">
        <v>0.993</v>
      </c>
      <c r="C12" s="2">
        <v>9.0</v>
      </c>
      <c r="D12" s="2">
        <v>-7.173</v>
      </c>
      <c r="E12" s="2">
        <v>1.0</v>
      </c>
      <c r="F12" s="2">
        <v>0.118</v>
      </c>
      <c r="G12" s="5">
        <v>5.66E-5</v>
      </c>
      <c r="H12" s="2">
        <v>0.77</v>
      </c>
      <c r="I12" s="2">
        <v>0.0766</v>
      </c>
      <c r="J12" s="2">
        <v>0.178</v>
      </c>
      <c r="K12" s="2">
        <v>127.693</v>
      </c>
      <c r="L12" s="2">
        <v>182427.0</v>
      </c>
      <c r="M12" s="2">
        <v>4.0</v>
      </c>
      <c r="N12" s="2">
        <v>0.0</v>
      </c>
    </row>
    <row r="13" ht="22.5" customHeight="1">
      <c r="A13" s="2">
        <v>0.816</v>
      </c>
      <c r="B13" s="2">
        <v>0.433</v>
      </c>
      <c r="C13" s="2">
        <v>1.0</v>
      </c>
      <c r="D13" s="2">
        <v>-9.19</v>
      </c>
      <c r="E13" s="2">
        <v>1.0</v>
      </c>
      <c r="F13" s="2">
        <v>0.241</v>
      </c>
      <c r="G13" s="2">
        <v>0.00471</v>
      </c>
      <c r="H13" s="2">
        <v>0.0</v>
      </c>
      <c r="I13" s="2">
        <v>0.132</v>
      </c>
      <c r="J13" s="2">
        <v>0.676</v>
      </c>
      <c r="K13" s="2">
        <v>147.942</v>
      </c>
      <c r="L13" s="2">
        <v>225000.0</v>
      </c>
      <c r="M13" s="2">
        <v>4.0</v>
      </c>
      <c r="N13" s="2">
        <v>1.0</v>
      </c>
    </row>
    <row r="14" ht="22.5" customHeight="1">
      <c r="A14" s="2">
        <v>0.297</v>
      </c>
      <c r="B14" s="2">
        <v>0.973</v>
      </c>
      <c r="C14" s="2">
        <v>1.0</v>
      </c>
      <c r="D14" s="2">
        <v>-4.505</v>
      </c>
      <c r="E14" s="2">
        <v>1.0</v>
      </c>
      <c r="F14" s="2">
        <v>0.151</v>
      </c>
      <c r="G14" s="2">
        <v>0.00146</v>
      </c>
      <c r="H14" s="2">
        <v>0.918</v>
      </c>
      <c r="I14" s="2">
        <v>0.139</v>
      </c>
      <c r="J14" s="2">
        <v>0.234</v>
      </c>
      <c r="K14" s="2">
        <v>102.757</v>
      </c>
      <c r="L14" s="2">
        <v>170520.0</v>
      </c>
      <c r="M14" s="2">
        <v>4.0</v>
      </c>
      <c r="N14" s="2">
        <v>0.0</v>
      </c>
    </row>
    <row r="15" ht="22.5" customHeight="1">
      <c r="A15" s="2">
        <v>0.564</v>
      </c>
      <c r="B15" s="2">
        <v>0.743</v>
      </c>
      <c r="C15" s="2">
        <v>6.0</v>
      </c>
      <c r="D15" s="2">
        <v>-5.782</v>
      </c>
      <c r="E15" s="2">
        <v>1.0</v>
      </c>
      <c r="F15" s="2">
        <v>0.22</v>
      </c>
      <c r="G15" s="2">
        <v>0.584</v>
      </c>
      <c r="H15" s="2">
        <v>0.0</v>
      </c>
      <c r="I15" s="2">
        <v>0.101</v>
      </c>
      <c r="J15" s="2">
        <v>0.191</v>
      </c>
      <c r="K15" s="2">
        <v>168.849</v>
      </c>
      <c r="L15" s="2">
        <v>185667.0</v>
      </c>
      <c r="M15" s="2">
        <v>4.0</v>
      </c>
      <c r="N15" s="2">
        <v>1.0</v>
      </c>
    </row>
    <row r="16" ht="22.5" customHeight="1">
      <c r="A16" s="2">
        <v>0.64</v>
      </c>
      <c r="B16" s="2">
        <v>0.957</v>
      </c>
      <c r="C16" s="2">
        <v>8.0</v>
      </c>
      <c r="D16" s="2">
        <v>-2.336</v>
      </c>
      <c r="E16" s="2">
        <v>1.0</v>
      </c>
      <c r="F16" s="2">
        <v>0.0741</v>
      </c>
      <c r="G16" s="2">
        <v>0.0431</v>
      </c>
      <c r="H16" s="2">
        <v>0.0</v>
      </c>
      <c r="I16" s="2">
        <v>0.0789</v>
      </c>
      <c r="J16" s="2">
        <v>0.692</v>
      </c>
      <c r="K16" s="2">
        <v>134.992</v>
      </c>
      <c r="L16" s="2">
        <v>178013.0</v>
      </c>
      <c r="M16" s="2">
        <v>4.0</v>
      </c>
      <c r="N16" s="2">
        <v>1.0</v>
      </c>
    </row>
    <row r="17" ht="22.5" customHeight="1">
      <c r="A17" s="2">
        <v>0.684</v>
      </c>
      <c r="B17" s="2">
        <v>0.64</v>
      </c>
      <c r="C17" s="2">
        <v>5.0</v>
      </c>
      <c r="D17" s="2">
        <v>-9.906</v>
      </c>
      <c r="E17" s="2">
        <v>0.0</v>
      </c>
      <c r="F17" s="2">
        <v>0.0309</v>
      </c>
      <c r="G17" s="2">
        <v>0.221</v>
      </c>
      <c r="H17" s="2">
        <v>0.0102</v>
      </c>
      <c r="I17" s="2">
        <v>0.179</v>
      </c>
      <c r="J17" s="2">
        <v>0.777</v>
      </c>
      <c r="K17" s="2">
        <v>106.023</v>
      </c>
      <c r="L17" s="2">
        <v>234267.0</v>
      </c>
      <c r="M17" s="2">
        <v>4.0</v>
      </c>
      <c r="N17" s="2">
        <v>0.0</v>
      </c>
    </row>
    <row r="18" ht="22.5" customHeight="1">
      <c r="A18" s="2">
        <v>0.85</v>
      </c>
      <c r="B18" s="2">
        <v>0.853</v>
      </c>
      <c r="C18" s="2">
        <v>8.0</v>
      </c>
      <c r="D18" s="2">
        <v>-5.65</v>
      </c>
      <c r="E18" s="2">
        <v>1.0</v>
      </c>
      <c r="F18" s="2">
        <v>0.123</v>
      </c>
      <c r="G18" s="2">
        <v>0.0155</v>
      </c>
      <c r="H18" s="2">
        <v>0.0</v>
      </c>
      <c r="I18" s="2">
        <v>0.105</v>
      </c>
      <c r="J18" s="2">
        <v>0.734</v>
      </c>
      <c r="K18" s="2">
        <v>142.03</v>
      </c>
      <c r="L18" s="2">
        <v>136901.0</v>
      </c>
      <c r="M18" s="2">
        <v>4.0</v>
      </c>
      <c r="N18" s="2">
        <v>1.0</v>
      </c>
    </row>
    <row r="19" ht="22.5" customHeight="1">
      <c r="A19" s="2">
        <v>0.745</v>
      </c>
      <c r="B19" s="2">
        <v>0.456</v>
      </c>
      <c r="C19" s="2">
        <v>8.0</v>
      </c>
      <c r="D19" s="2">
        <v>-9.482</v>
      </c>
      <c r="E19" s="2">
        <v>1.0</v>
      </c>
      <c r="F19" s="2">
        <v>0.0874</v>
      </c>
      <c r="G19" s="2">
        <v>0.44</v>
      </c>
      <c r="H19" s="2">
        <v>0.0</v>
      </c>
      <c r="I19" s="2">
        <v>0.072</v>
      </c>
      <c r="J19" s="2">
        <v>0.124</v>
      </c>
      <c r="K19" s="2">
        <v>94.032</v>
      </c>
      <c r="L19" s="2">
        <v>314367.0</v>
      </c>
      <c r="M19" s="2">
        <v>4.0</v>
      </c>
      <c r="N19" s="2">
        <v>0.0</v>
      </c>
    </row>
    <row r="20" ht="22.5" customHeight="1">
      <c r="A20" s="2">
        <v>0.754</v>
      </c>
      <c r="B20" s="2">
        <v>0.475</v>
      </c>
      <c r="C20" s="2">
        <v>1.0</v>
      </c>
      <c r="D20" s="2">
        <v>-10.889</v>
      </c>
      <c r="E20" s="2">
        <v>1.0</v>
      </c>
      <c r="F20" s="2">
        <v>0.154</v>
      </c>
      <c r="G20" s="2">
        <v>0.523</v>
      </c>
      <c r="H20" s="2">
        <v>0.0</v>
      </c>
      <c r="I20" s="2">
        <v>0.113</v>
      </c>
      <c r="J20" s="2">
        <v>0.235</v>
      </c>
      <c r="K20" s="2">
        <v>117.006</v>
      </c>
      <c r="L20" s="2">
        <v>201384.0</v>
      </c>
      <c r="M20" s="2">
        <v>4.0</v>
      </c>
      <c r="N20" s="2">
        <v>1.0</v>
      </c>
    </row>
    <row r="21" ht="22.5" customHeight="1">
      <c r="A21" s="2">
        <v>0.797</v>
      </c>
      <c r="B21" s="2">
        <v>0.852</v>
      </c>
      <c r="C21" s="2">
        <v>8.0</v>
      </c>
      <c r="D21" s="2">
        <v>-5.202</v>
      </c>
      <c r="E21" s="2">
        <v>1.0</v>
      </c>
      <c r="F21" s="2">
        <v>0.241</v>
      </c>
      <c r="G21" s="2">
        <v>0.0555</v>
      </c>
      <c r="H21" s="5">
        <v>2.45E-5</v>
      </c>
      <c r="I21" s="2">
        <v>0.0536</v>
      </c>
      <c r="J21" s="2">
        <v>0.48</v>
      </c>
      <c r="K21" s="2">
        <v>136.035</v>
      </c>
      <c r="L21" s="2">
        <v>102353.0</v>
      </c>
      <c r="M21" s="2">
        <v>4.0</v>
      </c>
      <c r="N21" s="2">
        <v>1.0</v>
      </c>
    </row>
    <row r="22" ht="22.5" customHeight="1">
      <c r="A22" s="2">
        <v>0.798</v>
      </c>
      <c r="B22" s="2">
        <v>0.835</v>
      </c>
      <c r="C22" s="2">
        <v>9.0</v>
      </c>
      <c r="D22" s="2">
        <v>-3.832</v>
      </c>
      <c r="E22" s="2">
        <v>1.0</v>
      </c>
      <c r="F22" s="2">
        <v>0.202</v>
      </c>
      <c r="G22" s="2">
        <v>0.165</v>
      </c>
      <c r="H22" s="2">
        <v>0.0</v>
      </c>
      <c r="I22" s="2">
        <v>0.112</v>
      </c>
      <c r="J22" s="2">
        <v>0.609</v>
      </c>
      <c r="K22" s="2">
        <v>150.04</v>
      </c>
      <c r="L22" s="2">
        <v>139240.0</v>
      </c>
      <c r="M22" s="2">
        <v>4.0</v>
      </c>
      <c r="N22" s="2">
        <v>1.0</v>
      </c>
    </row>
    <row r="23" ht="22.5" customHeight="1">
      <c r="A23" s="2">
        <v>0.438</v>
      </c>
      <c r="B23" s="2">
        <v>0.0825</v>
      </c>
      <c r="C23" s="2">
        <v>9.0</v>
      </c>
      <c r="D23" s="2">
        <v>-21.686</v>
      </c>
      <c r="E23" s="2">
        <v>0.0</v>
      </c>
      <c r="F23" s="2">
        <v>0.0695</v>
      </c>
      <c r="G23" s="2">
        <v>0.983</v>
      </c>
      <c r="H23" s="2">
        <v>0.0749</v>
      </c>
      <c r="I23" s="2">
        <v>0.0461</v>
      </c>
      <c r="J23" s="2">
        <v>0.37</v>
      </c>
      <c r="K23" s="2">
        <v>106.275</v>
      </c>
      <c r="L23" s="2">
        <v>270000.0</v>
      </c>
      <c r="M23" s="2">
        <v>5.0</v>
      </c>
      <c r="N23" s="2">
        <v>0.0</v>
      </c>
    </row>
    <row r="24" ht="22.5" customHeight="1">
      <c r="A24" s="2">
        <v>0.802</v>
      </c>
      <c r="B24" s="2">
        <v>0.549</v>
      </c>
      <c r="C24" s="2">
        <v>5.0</v>
      </c>
      <c r="D24" s="2">
        <v>-8.6</v>
      </c>
      <c r="E24" s="2">
        <v>0.0</v>
      </c>
      <c r="F24" s="2">
        <v>0.0631</v>
      </c>
      <c r="G24" s="2">
        <v>0.268</v>
      </c>
      <c r="H24" s="2">
        <v>0.00496</v>
      </c>
      <c r="I24" s="2">
        <v>0.0984</v>
      </c>
      <c r="J24" s="2">
        <v>0.498</v>
      </c>
      <c r="K24" s="2">
        <v>138.984</v>
      </c>
      <c r="L24" s="2">
        <v>184627.0</v>
      </c>
      <c r="M24" s="2">
        <v>4.0</v>
      </c>
      <c r="N24" s="2">
        <v>1.0</v>
      </c>
    </row>
    <row r="25" ht="22.5" customHeight="1">
      <c r="A25" s="2">
        <v>0.6</v>
      </c>
      <c r="B25" s="2">
        <v>0.535</v>
      </c>
      <c r="C25" s="2">
        <v>4.0</v>
      </c>
      <c r="D25" s="2">
        <v>-12.028</v>
      </c>
      <c r="E25" s="2">
        <v>1.0</v>
      </c>
      <c r="F25" s="2">
        <v>0.376</v>
      </c>
      <c r="G25" s="2">
        <v>0.274</v>
      </c>
      <c r="H25" s="2">
        <v>0.0</v>
      </c>
      <c r="I25" s="2">
        <v>0.0984</v>
      </c>
      <c r="J25" s="2">
        <v>0.205</v>
      </c>
      <c r="K25" s="2">
        <v>180.036</v>
      </c>
      <c r="L25" s="2">
        <v>176000.0</v>
      </c>
      <c r="M25" s="2">
        <v>3.0</v>
      </c>
      <c r="N25" s="2">
        <v>1.0</v>
      </c>
    </row>
    <row r="26" ht="22.5" customHeight="1">
      <c r="A26" s="2">
        <v>0.729</v>
      </c>
      <c r="B26" s="2">
        <v>0.533</v>
      </c>
      <c r="C26" s="2">
        <v>9.0</v>
      </c>
      <c r="D26" s="2">
        <v>-10.104</v>
      </c>
      <c r="E26" s="2">
        <v>0.0</v>
      </c>
      <c r="F26" s="2">
        <v>0.444</v>
      </c>
      <c r="G26" s="2">
        <v>0.747</v>
      </c>
      <c r="H26" s="5">
        <v>4.54E-6</v>
      </c>
      <c r="I26" s="2">
        <v>0.0848</v>
      </c>
      <c r="J26" s="2">
        <v>0.422</v>
      </c>
      <c r="K26" s="2">
        <v>155.999</v>
      </c>
      <c r="L26" s="2">
        <v>225953.0</v>
      </c>
      <c r="M26" s="2">
        <v>4.0</v>
      </c>
      <c r="N26" s="2">
        <v>0.0</v>
      </c>
    </row>
    <row r="27" ht="22.5" customHeight="1">
      <c r="A27" s="2">
        <v>0.867</v>
      </c>
      <c r="B27" s="2">
        <v>0.457</v>
      </c>
      <c r="C27" s="2">
        <v>1.0</v>
      </c>
      <c r="D27" s="2">
        <v>-7.908</v>
      </c>
      <c r="E27" s="2">
        <v>1.0</v>
      </c>
      <c r="F27" s="2">
        <v>0.237</v>
      </c>
      <c r="G27" s="2">
        <v>0.0987</v>
      </c>
      <c r="H27" s="2">
        <v>0.0</v>
      </c>
      <c r="I27" s="2">
        <v>0.0967</v>
      </c>
      <c r="J27" s="2">
        <v>0.193</v>
      </c>
      <c r="K27" s="2">
        <v>101.052</v>
      </c>
      <c r="L27" s="2">
        <v>210733.0</v>
      </c>
      <c r="M27" s="2">
        <v>4.0</v>
      </c>
      <c r="N27" s="2">
        <v>1.0</v>
      </c>
    </row>
    <row r="28" ht="22.5" customHeight="1">
      <c r="A28" s="2">
        <v>0.65</v>
      </c>
      <c r="B28" s="2">
        <v>0.545</v>
      </c>
      <c r="C28" s="2">
        <v>4.0</v>
      </c>
      <c r="D28" s="2">
        <v>-7.712</v>
      </c>
      <c r="E28" s="2">
        <v>0.0</v>
      </c>
      <c r="F28" s="2">
        <v>0.0514</v>
      </c>
      <c r="G28" s="2">
        <v>0.271</v>
      </c>
      <c r="H28" s="5">
        <v>7.34E-6</v>
      </c>
      <c r="I28" s="2">
        <v>0.102</v>
      </c>
      <c r="J28" s="2">
        <v>0.113</v>
      </c>
      <c r="K28" s="2">
        <v>76.503</v>
      </c>
      <c r="L28" s="2">
        <v>240924.0</v>
      </c>
      <c r="M28" s="2">
        <v>4.0</v>
      </c>
      <c r="N28" s="2">
        <v>1.0</v>
      </c>
    </row>
    <row r="29" ht="22.5" customHeight="1">
      <c r="A29" s="2">
        <v>0.809</v>
      </c>
      <c r="B29" s="2">
        <v>0.574</v>
      </c>
      <c r="C29" s="2">
        <v>5.0</v>
      </c>
      <c r="D29" s="2">
        <v>-8.546</v>
      </c>
      <c r="E29" s="2">
        <v>0.0</v>
      </c>
      <c r="F29" s="2">
        <v>0.385</v>
      </c>
      <c r="G29" s="2">
        <v>0.4</v>
      </c>
      <c r="H29" s="2">
        <v>0.0</v>
      </c>
      <c r="I29" s="2">
        <v>0.105</v>
      </c>
      <c r="J29" s="2">
        <v>0.756</v>
      </c>
      <c r="K29" s="2">
        <v>151.974</v>
      </c>
      <c r="L29" s="2">
        <v>185493.0</v>
      </c>
      <c r="M29" s="2">
        <v>4.0</v>
      </c>
      <c r="N29" s="2">
        <v>1.0</v>
      </c>
    </row>
    <row r="30" ht="22.5" customHeight="1">
      <c r="A30" s="2">
        <v>0.749</v>
      </c>
      <c r="B30" s="2">
        <v>0.839</v>
      </c>
      <c r="C30" s="2">
        <v>6.0</v>
      </c>
      <c r="D30" s="2">
        <v>-4.847</v>
      </c>
      <c r="E30" s="2">
        <v>1.0</v>
      </c>
      <c r="F30" s="2">
        <v>0.297</v>
      </c>
      <c r="G30" s="2">
        <v>0.0867</v>
      </c>
      <c r="H30" s="2">
        <v>0.0</v>
      </c>
      <c r="I30" s="2">
        <v>0.204</v>
      </c>
      <c r="J30" s="2">
        <v>0.804</v>
      </c>
      <c r="K30" s="2">
        <v>172.068</v>
      </c>
      <c r="L30" s="2">
        <v>111000.0</v>
      </c>
      <c r="M30" s="2">
        <v>4.0</v>
      </c>
      <c r="N30" s="2">
        <v>1.0</v>
      </c>
    </row>
    <row r="31" ht="22.5" customHeight="1">
      <c r="A31" s="2">
        <v>0.657</v>
      </c>
      <c r="B31" s="2">
        <v>0.333</v>
      </c>
      <c r="C31" s="2">
        <v>8.0</v>
      </c>
      <c r="D31" s="2">
        <v>-13.553</v>
      </c>
      <c r="E31" s="2">
        <v>1.0</v>
      </c>
      <c r="F31" s="2">
        <v>0.526</v>
      </c>
      <c r="G31" s="2">
        <v>0.0608</v>
      </c>
      <c r="H31" s="2">
        <v>0.0</v>
      </c>
      <c r="I31" s="2">
        <v>0.157</v>
      </c>
      <c r="J31" s="2">
        <v>0.313</v>
      </c>
      <c r="K31" s="2">
        <v>148.168</v>
      </c>
      <c r="L31" s="2">
        <v>98615.0</v>
      </c>
      <c r="M31" s="2">
        <v>4.0</v>
      </c>
      <c r="N31" s="2">
        <v>1.0</v>
      </c>
    </row>
    <row r="32" ht="22.5" customHeight="1">
      <c r="A32" s="2">
        <v>0.689</v>
      </c>
      <c r="B32" s="2">
        <v>0.68</v>
      </c>
      <c r="C32" s="2">
        <v>7.0</v>
      </c>
      <c r="D32" s="2">
        <v>-6.551</v>
      </c>
      <c r="E32" s="2">
        <v>0.0</v>
      </c>
      <c r="F32" s="2">
        <v>0.0774</v>
      </c>
      <c r="G32" s="2">
        <v>0.392</v>
      </c>
      <c r="H32" s="5">
        <v>1.22E-6</v>
      </c>
      <c r="I32" s="2">
        <v>0.107</v>
      </c>
      <c r="J32" s="2">
        <v>0.567</v>
      </c>
      <c r="K32" s="2">
        <v>75.445</v>
      </c>
      <c r="L32" s="2">
        <v>168574.0</v>
      </c>
      <c r="M32" s="2">
        <v>4.0</v>
      </c>
      <c r="N32" s="2">
        <v>1.0</v>
      </c>
    </row>
    <row r="33" ht="22.5" customHeight="1">
      <c r="A33" s="2">
        <v>0.668</v>
      </c>
      <c r="B33" s="2">
        <v>0.459</v>
      </c>
      <c r="C33" s="2">
        <v>6.0</v>
      </c>
      <c r="D33" s="2">
        <v>-12.072</v>
      </c>
      <c r="E33" s="2">
        <v>0.0</v>
      </c>
      <c r="F33" s="2">
        <v>0.118</v>
      </c>
      <c r="G33" s="2">
        <v>0.0499</v>
      </c>
      <c r="H33" s="5">
        <v>1.0E-6</v>
      </c>
      <c r="I33" s="2">
        <v>0.408</v>
      </c>
      <c r="J33" s="2">
        <v>0.525</v>
      </c>
      <c r="K33" s="2">
        <v>159.021</v>
      </c>
      <c r="L33" s="2">
        <v>186415.0</v>
      </c>
      <c r="M33" s="2">
        <v>4.0</v>
      </c>
      <c r="N33" s="2">
        <v>1.0</v>
      </c>
    </row>
    <row r="34" ht="22.5" customHeight="1">
      <c r="A34" s="2">
        <v>0.291</v>
      </c>
      <c r="B34" s="2">
        <v>0.98</v>
      </c>
      <c r="C34" s="2">
        <v>1.0</v>
      </c>
      <c r="D34" s="2">
        <v>-5.138</v>
      </c>
      <c r="E34" s="2">
        <v>1.0</v>
      </c>
      <c r="F34" s="2">
        <v>0.153</v>
      </c>
      <c r="G34" s="2">
        <v>0.00127</v>
      </c>
      <c r="H34" s="2">
        <v>0.091</v>
      </c>
      <c r="I34" s="2">
        <v>0.102</v>
      </c>
      <c r="J34" s="2">
        <v>0.257</v>
      </c>
      <c r="K34" s="2">
        <v>79.792</v>
      </c>
      <c r="L34" s="2">
        <v>270920.0</v>
      </c>
      <c r="M34" s="2">
        <v>4.0</v>
      </c>
      <c r="N34" s="2">
        <v>0.0</v>
      </c>
    </row>
    <row r="35" ht="22.5" customHeight="1">
      <c r="A35" s="2">
        <v>0.573</v>
      </c>
      <c r="B35" s="2">
        <v>0.581</v>
      </c>
      <c r="C35" s="2">
        <v>10.0</v>
      </c>
      <c r="D35" s="2">
        <v>-9.026</v>
      </c>
      <c r="E35" s="2">
        <v>0.0</v>
      </c>
      <c r="F35" s="2">
        <v>0.339</v>
      </c>
      <c r="G35" s="2">
        <v>0.753</v>
      </c>
      <c r="H35" s="5">
        <v>1.39E-6</v>
      </c>
      <c r="I35" s="2">
        <v>0.13</v>
      </c>
      <c r="J35" s="2">
        <v>0.351</v>
      </c>
      <c r="K35" s="2">
        <v>76.506</v>
      </c>
      <c r="L35" s="2">
        <v>169347.0</v>
      </c>
      <c r="M35" s="2">
        <v>4.0</v>
      </c>
      <c r="N35" s="2">
        <v>1.0</v>
      </c>
    </row>
    <row r="36" ht="22.5" customHeight="1">
      <c r="A36" s="2">
        <v>0.608</v>
      </c>
      <c r="B36" s="2">
        <v>0.471</v>
      </c>
      <c r="C36" s="2">
        <v>0.0</v>
      </c>
      <c r="D36" s="2">
        <v>-8.664</v>
      </c>
      <c r="E36" s="2">
        <v>1.0</v>
      </c>
      <c r="F36" s="2">
        <v>0.0945</v>
      </c>
      <c r="G36" s="2">
        <v>0.446</v>
      </c>
      <c r="H36" s="5">
        <v>3.63E-6</v>
      </c>
      <c r="I36" s="2">
        <v>0.369</v>
      </c>
      <c r="J36" s="2">
        <v>0.682</v>
      </c>
      <c r="K36" s="2">
        <v>70.702</v>
      </c>
      <c r="L36" s="2">
        <v>165800.0</v>
      </c>
      <c r="M36" s="2">
        <v>3.0</v>
      </c>
      <c r="N36" s="2">
        <v>0.0</v>
      </c>
    </row>
    <row r="37" ht="22.5" customHeight="1">
      <c r="A37" s="2">
        <v>0.307</v>
      </c>
      <c r="B37" s="2">
        <v>0.0515</v>
      </c>
      <c r="C37" s="2">
        <v>4.0</v>
      </c>
      <c r="D37" s="2">
        <v>-28.493</v>
      </c>
      <c r="E37" s="2">
        <v>0.0</v>
      </c>
      <c r="F37" s="2">
        <v>0.0324</v>
      </c>
      <c r="G37" s="2">
        <v>0.708</v>
      </c>
      <c r="H37" s="2">
        <v>0.631</v>
      </c>
      <c r="I37" s="2">
        <v>0.42</v>
      </c>
      <c r="J37" s="2">
        <v>0.154</v>
      </c>
      <c r="K37" s="2">
        <v>128.056</v>
      </c>
      <c r="L37" s="2">
        <v>125533.0</v>
      </c>
      <c r="M37" s="2">
        <v>4.0</v>
      </c>
      <c r="N37" s="2">
        <v>0.0</v>
      </c>
    </row>
    <row r="38" ht="22.5" customHeight="1">
      <c r="A38" s="2">
        <v>0.784</v>
      </c>
      <c r="B38" s="2">
        <v>0.7</v>
      </c>
      <c r="C38" s="2">
        <v>7.0</v>
      </c>
      <c r="D38" s="2">
        <v>-7.649</v>
      </c>
      <c r="E38" s="2">
        <v>0.0</v>
      </c>
      <c r="F38" s="2">
        <v>0.108</v>
      </c>
      <c r="G38" s="2">
        <v>0.491</v>
      </c>
      <c r="H38" s="2">
        <v>0.0</v>
      </c>
      <c r="I38" s="2">
        <v>0.108</v>
      </c>
      <c r="J38" s="2">
        <v>0.769</v>
      </c>
      <c r="K38" s="2">
        <v>82.028</v>
      </c>
      <c r="L38" s="2">
        <v>190067.0</v>
      </c>
      <c r="M38" s="2">
        <v>4.0</v>
      </c>
      <c r="N38" s="2">
        <v>0.0</v>
      </c>
    </row>
    <row r="39" ht="22.5" customHeight="1">
      <c r="A39" s="2">
        <v>0.448</v>
      </c>
      <c r="B39" s="2">
        <v>0.97</v>
      </c>
      <c r="C39" s="2">
        <v>1.0</v>
      </c>
      <c r="D39" s="2">
        <v>-4.197</v>
      </c>
      <c r="E39" s="2">
        <v>1.0</v>
      </c>
      <c r="F39" s="2">
        <v>0.105</v>
      </c>
      <c r="G39" s="2">
        <v>4.28E-4</v>
      </c>
      <c r="H39" s="2">
        <v>0.912</v>
      </c>
      <c r="I39" s="2">
        <v>0.376</v>
      </c>
      <c r="J39" s="2">
        <v>0.381</v>
      </c>
      <c r="K39" s="2">
        <v>119.215</v>
      </c>
      <c r="L39" s="2">
        <v>123880.0</v>
      </c>
      <c r="M39" s="2">
        <v>4.0</v>
      </c>
      <c r="N39" s="2">
        <v>0.0</v>
      </c>
    </row>
    <row r="40" ht="22.5" customHeight="1">
      <c r="A40" s="2">
        <v>0.648</v>
      </c>
      <c r="B40" s="2">
        <v>0.751</v>
      </c>
      <c r="C40" s="2">
        <v>8.0</v>
      </c>
      <c r="D40" s="2">
        <v>-8.582</v>
      </c>
      <c r="E40" s="2">
        <v>1.0</v>
      </c>
      <c r="F40" s="2">
        <v>0.0806</v>
      </c>
      <c r="G40" s="2">
        <v>0.0182</v>
      </c>
      <c r="H40" s="2">
        <v>4.01E-4</v>
      </c>
      <c r="I40" s="2">
        <v>0.0418</v>
      </c>
      <c r="J40" s="2">
        <v>0.863</v>
      </c>
      <c r="K40" s="2">
        <v>100.437</v>
      </c>
      <c r="L40" s="2">
        <v>244827.0</v>
      </c>
      <c r="M40" s="2">
        <v>4.0</v>
      </c>
      <c r="N40" s="2">
        <v>0.0</v>
      </c>
    </row>
    <row r="41" ht="22.5" customHeight="1">
      <c r="A41" s="2">
        <v>0.895</v>
      </c>
      <c r="B41" s="2">
        <v>0.479</v>
      </c>
      <c r="C41" s="2">
        <v>11.0</v>
      </c>
      <c r="D41" s="2">
        <v>-9.071</v>
      </c>
      <c r="E41" s="2">
        <v>0.0</v>
      </c>
      <c r="F41" s="2">
        <v>0.273</v>
      </c>
      <c r="G41" s="2">
        <v>0.208</v>
      </c>
      <c r="H41" s="2">
        <v>0.0</v>
      </c>
      <c r="I41" s="2">
        <v>0.0902</v>
      </c>
      <c r="J41" s="2">
        <v>0.719</v>
      </c>
      <c r="K41" s="2">
        <v>146.049</v>
      </c>
      <c r="L41" s="2">
        <v>134554.0</v>
      </c>
      <c r="M41" s="2">
        <v>4.0</v>
      </c>
      <c r="N41" s="2">
        <v>1.0</v>
      </c>
    </row>
    <row r="42" ht="22.5" customHeight="1">
      <c r="A42" s="2">
        <v>0.358</v>
      </c>
      <c r="B42" s="2">
        <v>0.977</v>
      </c>
      <c r="C42" s="2">
        <v>8.0</v>
      </c>
      <c r="D42" s="2">
        <v>-8.179</v>
      </c>
      <c r="E42" s="2">
        <v>0.0</v>
      </c>
      <c r="F42" s="2">
        <v>0.0727</v>
      </c>
      <c r="G42" s="5">
        <v>8.18E-5</v>
      </c>
      <c r="H42" s="2">
        <v>0.924</v>
      </c>
      <c r="I42" s="2">
        <v>0.103</v>
      </c>
      <c r="J42" s="2">
        <v>0.449</v>
      </c>
      <c r="K42" s="2">
        <v>137.681</v>
      </c>
      <c r="L42" s="2">
        <v>194160.0</v>
      </c>
      <c r="M42" s="2">
        <v>4.0</v>
      </c>
      <c r="N42" s="2">
        <v>0.0</v>
      </c>
    </row>
    <row r="43" ht="22.5" customHeight="1">
      <c r="A43" s="2">
        <v>0.742</v>
      </c>
      <c r="B43" s="2">
        <v>0.423</v>
      </c>
      <c r="C43" s="2">
        <v>1.0</v>
      </c>
      <c r="D43" s="2">
        <v>-9.795</v>
      </c>
      <c r="E43" s="2">
        <v>0.0</v>
      </c>
      <c r="F43" s="2">
        <v>0.108</v>
      </c>
      <c r="G43" s="2">
        <v>0.832</v>
      </c>
      <c r="H43" s="5">
        <v>1.04E-5</v>
      </c>
      <c r="I43" s="2">
        <v>0.0644</v>
      </c>
      <c r="J43" s="2">
        <v>0.712</v>
      </c>
      <c r="K43" s="2">
        <v>75.026</v>
      </c>
      <c r="L43" s="2">
        <v>194000.0</v>
      </c>
      <c r="M43" s="2">
        <v>4.0</v>
      </c>
      <c r="N43" s="2">
        <v>1.0</v>
      </c>
    </row>
    <row r="44" ht="22.5" customHeight="1">
      <c r="A44" s="2">
        <v>0.603</v>
      </c>
      <c r="B44" s="2">
        <v>0.886</v>
      </c>
      <c r="C44" s="2">
        <v>5.0</v>
      </c>
      <c r="D44" s="2">
        <v>-3.777</v>
      </c>
      <c r="E44" s="2">
        <v>0.0</v>
      </c>
      <c r="F44" s="2">
        <v>0.0837</v>
      </c>
      <c r="G44" s="2">
        <v>4.5E-4</v>
      </c>
      <c r="H44" s="2">
        <v>0.0</v>
      </c>
      <c r="I44" s="2">
        <v>0.26</v>
      </c>
      <c r="J44" s="2">
        <v>0.395</v>
      </c>
      <c r="K44" s="2">
        <v>126.025</v>
      </c>
      <c r="L44" s="2">
        <v>229933.0</v>
      </c>
      <c r="M44" s="2">
        <v>4.0</v>
      </c>
      <c r="N44" s="2">
        <v>1.0</v>
      </c>
    </row>
    <row r="45" ht="22.5" customHeight="1">
      <c r="A45" s="2">
        <v>0.839</v>
      </c>
      <c r="B45" s="2">
        <v>0.629</v>
      </c>
      <c r="C45" s="2">
        <v>3.0</v>
      </c>
      <c r="D45" s="2">
        <v>-5.663</v>
      </c>
      <c r="E45" s="2">
        <v>0.0</v>
      </c>
      <c r="F45" s="2">
        <v>0.147</v>
      </c>
      <c r="G45" s="2">
        <v>0.241</v>
      </c>
      <c r="H45" s="2">
        <v>0.0</v>
      </c>
      <c r="I45" s="2">
        <v>0.108</v>
      </c>
      <c r="J45" s="2">
        <v>0.724</v>
      </c>
      <c r="K45" s="2">
        <v>94.008</v>
      </c>
      <c r="L45" s="2">
        <v>207772.0</v>
      </c>
      <c r="M45" s="2">
        <v>4.0</v>
      </c>
      <c r="N45" s="2">
        <v>1.0</v>
      </c>
    </row>
    <row r="46" ht="22.5" customHeight="1">
      <c r="A46" s="2">
        <v>0.184</v>
      </c>
      <c r="B46" s="2">
        <v>0.974</v>
      </c>
      <c r="C46" s="2">
        <v>8.0</v>
      </c>
      <c r="D46" s="2">
        <v>-6.237</v>
      </c>
      <c r="E46" s="2">
        <v>0.0</v>
      </c>
      <c r="F46" s="2">
        <v>0.106</v>
      </c>
      <c r="G46" s="5">
        <v>2.32E-5</v>
      </c>
      <c r="H46" s="2">
        <v>0.886</v>
      </c>
      <c r="I46" s="2">
        <v>0.241</v>
      </c>
      <c r="J46" s="2">
        <v>0.33</v>
      </c>
      <c r="K46" s="2">
        <v>93.771</v>
      </c>
      <c r="L46" s="2">
        <v>257390.0</v>
      </c>
      <c r="M46" s="2">
        <v>3.0</v>
      </c>
      <c r="N46" s="2">
        <v>0.0</v>
      </c>
    </row>
    <row r="47" ht="22.5" customHeight="1">
      <c r="A47" s="2">
        <v>0.373</v>
      </c>
      <c r="B47" s="2">
        <v>0.98</v>
      </c>
      <c r="C47" s="2">
        <v>1.0</v>
      </c>
      <c r="D47" s="2">
        <v>-5.016</v>
      </c>
      <c r="E47" s="2">
        <v>0.0</v>
      </c>
      <c r="F47" s="2">
        <v>0.122</v>
      </c>
      <c r="G47" s="2">
        <v>3.19E-4</v>
      </c>
      <c r="H47" s="2">
        <v>0.906</v>
      </c>
      <c r="I47" s="2">
        <v>0.105</v>
      </c>
      <c r="J47" s="2">
        <v>0.34</v>
      </c>
      <c r="K47" s="2">
        <v>97.346</v>
      </c>
      <c r="L47" s="2">
        <v>211947.0</v>
      </c>
      <c r="M47" s="2">
        <v>4.0</v>
      </c>
      <c r="N47" s="2">
        <v>0.0</v>
      </c>
    </row>
    <row r="48" ht="22.5" customHeight="1">
      <c r="A48" s="2">
        <v>0.826</v>
      </c>
      <c r="B48" s="2">
        <v>0.76</v>
      </c>
      <c r="C48" s="2">
        <v>11.0</v>
      </c>
      <c r="D48" s="2">
        <v>-6.382</v>
      </c>
      <c r="E48" s="2">
        <v>0.0</v>
      </c>
      <c r="F48" s="2">
        <v>0.117</v>
      </c>
      <c r="G48" s="2">
        <v>0.392</v>
      </c>
      <c r="H48" s="2">
        <v>0.0</v>
      </c>
      <c r="I48" s="2">
        <v>0.132</v>
      </c>
      <c r="J48" s="2">
        <v>0.813</v>
      </c>
      <c r="K48" s="2">
        <v>99.974</v>
      </c>
      <c r="L48" s="2">
        <v>216285.0</v>
      </c>
      <c r="M48" s="2">
        <v>4.0</v>
      </c>
      <c r="N48" s="2">
        <v>0.0</v>
      </c>
    </row>
    <row r="49" ht="22.5" customHeight="1">
      <c r="A49" s="2">
        <v>0.924</v>
      </c>
      <c r="B49" s="2">
        <v>0.748</v>
      </c>
      <c r="C49" s="2">
        <v>2.0</v>
      </c>
      <c r="D49" s="2">
        <v>-3.645</v>
      </c>
      <c r="E49" s="2">
        <v>1.0</v>
      </c>
      <c r="F49" s="2">
        <v>0.188</v>
      </c>
      <c r="G49" s="2">
        <v>0.174</v>
      </c>
      <c r="H49" s="2">
        <v>0.0</v>
      </c>
      <c r="I49" s="2">
        <v>0.207</v>
      </c>
      <c r="J49" s="2">
        <v>0.381</v>
      </c>
      <c r="K49" s="2">
        <v>121.063</v>
      </c>
      <c r="L49" s="2">
        <v>209667.0</v>
      </c>
      <c r="M49" s="2">
        <v>4.0</v>
      </c>
      <c r="N49" s="2">
        <v>1.0</v>
      </c>
    </row>
    <row r="50" ht="22.5" customHeight="1">
      <c r="A50" s="2">
        <v>0.267</v>
      </c>
      <c r="B50" s="2">
        <v>0.0024</v>
      </c>
      <c r="C50" s="2">
        <v>1.0</v>
      </c>
      <c r="D50" s="2">
        <v>-42.261</v>
      </c>
      <c r="E50" s="2">
        <v>0.0</v>
      </c>
      <c r="F50" s="2">
        <v>0.0531</v>
      </c>
      <c r="G50" s="2">
        <v>0.995</v>
      </c>
      <c r="H50" s="2">
        <v>0.897</v>
      </c>
      <c r="I50" s="2">
        <v>0.0942</v>
      </c>
      <c r="J50" s="2">
        <v>0.267</v>
      </c>
      <c r="K50" s="2">
        <v>71.428</v>
      </c>
      <c r="L50" s="2">
        <v>397773.0</v>
      </c>
      <c r="M50" s="2">
        <v>4.0</v>
      </c>
      <c r="N50" s="2">
        <v>0.0</v>
      </c>
    </row>
    <row r="51" ht="22.5" customHeight="1">
      <c r="A51" s="2">
        <v>0.462</v>
      </c>
      <c r="B51" s="2">
        <v>0.974</v>
      </c>
      <c r="C51" s="2">
        <v>1.0</v>
      </c>
      <c r="D51" s="2">
        <v>-5.82</v>
      </c>
      <c r="E51" s="2">
        <v>1.0</v>
      </c>
      <c r="F51" s="2">
        <v>0.0816</v>
      </c>
      <c r="G51" s="5">
        <v>2.94E-5</v>
      </c>
      <c r="H51" s="2">
        <v>0.723</v>
      </c>
      <c r="I51" s="2">
        <v>0.0751</v>
      </c>
      <c r="J51" s="2">
        <v>0.399</v>
      </c>
      <c r="K51" s="2">
        <v>107.877</v>
      </c>
      <c r="L51" s="2">
        <v>186576.0</v>
      </c>
      <c r="M51" s="2">
        <v>3.0</v>
      </c>
      <c r="N51" s="2">
        <v>0.0</v>
      </c>
    </row>
    <row r="52" ht="22.5" customHeight="1">
      <c r="A52" s="2">
        <v>0.616</v>
      </c>
      <c r="B52" s="2">
        <v>0.534</v>
      </c>
      <c r="C52" s="2">
        <v>10.0</v>
      </c>
      <c r="D52" s="2">
        <v>-10.264</v>
      </c>
      <c r="E52" s="2">
        <v>0.0</v>
      </c>
      <c r="F52" s="2">
        <v>0.483</v>
      </c>
      <c r="G52" s="2">
        <v>0.639</v>
      </c>
      <c r="H52" s="2">
        <v>0.0</v>
      </c>
      <c r="I52" s="2">
        <v>0.0844</v>
      </c>
      <c r="J52" s="2">
        <v>0.556</v>
      </c>
      <c r="K52" s="2">
        <v>170.054</v>
      </c>
      <c r="L52" s="2">
        <v>146480.0</v>
      </c>
      <c r="M52" s="2">
        <v>4.0</v>
      </c>
      <c r="N52" s="2">
        <v>1.0</v>
      </c>
    </row>
    <row r="53" ht="22.5" customHeight="1">
      <c r="A53" s="2">
        <v>0.878</v>
      </c>
      <c r="B53" s="2">
        <v>0.622</v>
      </c>
      <c r="C53" s="2">
        <v>2.0</v>
      </c>
      <c r="D53" s="2">
        <v>-6.995</v>
      </c>
      <c r="E53" s="2">
        <v>1.0</v>
      </c>
      <c r="F53" s="2">
        <v>0.405</v>
      </c>
      <c r="G53" s="2">
        <v>0.153</v>
      </c>
      <c r="H53" s="2">
        <v>0.0</v>
      </c>
      <c r="I53" s="2">
        <v>0.0917</v>
      </c>
      <c r="J53" s="2">
        <v>0.638</v>
      </c>
      <c r="K53" s="2">
        <v>84.991</v>
      </c>
      <c r="L53" s="2">
        <v>163765.0</v>
      </c>
      <c r="M53" s="2">
        <v>4.0</v>
      </c>
      <c r="N53" s="2">
        <v>1.0</v>
      </c>
    </row>
    <row r="54" ht="22.5" customHeight="1">
      <c r="A54" s="2">
        <v>0.581</v>
      </c>
      <c r="B54" s="2">
        <v>0.85</v>
      </c>
      <c r="C54" s="2">
        <v>5.0</v>
      </c>
      <c r="D54" s="2">
        <v>-3.45</v>
      </c>
      <c r="E54" s="2">
        <v>0.0</v>
      </c>
      <c r="F54" s="2">
        <v>0.0734</v>
      </c>
      <c r="G54" s="2">
        <v>0.185</v>
      </c>
      <c r="H54" s="2">
        <v>4.6E-4</v>
      </c>
      <c r="I54" s="2">
        <v>0.149</v>
      </c>
      <c r="J54" s="2">
        <v>0.357</v>
      </c>
      <c r="K54" s="2">
        <v>152.018</v>
      </c>
      <c r="L54" s="2">
        <v>178809.0</v>
      </c>
      <c r="M54" s="2">
        <v>4.0</v>
      </c>
      <c r="N54" s="2">
        <v>1.0</v>
      </c>
    </row>
    <row r="55" ht="22.5" customHeight="1">
      <c r="A55" s="2">
        <v>0.656</v>
      </c>
      <c r="B55" s="2">
        <v>0.381</v>
      </c>
      <c r="C55" s="2">
        <v>0.0</v>
      </c>
      <c r="D55" s="2">
        <v>-8.757</v>
      </c>
      <c r="E55" s="2">
        <v>0.0</v>
      </c>
      <c r="F55" s="2">
        <v>0.0802</v>
      </c>
      <c r="G55" s="2">
        <v>0.653</v>
      </c>
      <c r="H55" s="2">
        <v>0.0</v>
      </c>
      <c r="I55" s="2">
        <v>0.116</v>
      </c>
      <c r="J55" s="2">
        <v>0.166</v>
      </c>
      <c r="K55" s="2">
        <v>84.907</v>
      </c>
      <c r="L55" s="2">
        <v>325556.0</v>
      </c>
      <c r="M55" s="2">
        <v>4.0</v>
      </c>
      <c r="N55" s="2">
        <v>0.0</v>
      </c>
    </row>
    <row r="56" ht="22.5" customHeight="1">
      <c r="A56" s="2">
        <v>0.363</v>
      </c>
      <c r="B56" s="2">
        <v>0.994</v>
      </c>
      <c r="C56" s="2">
        <v>8.0</v>
      </c>
      <c r="D56" s="2">
        <v>-5.781</v>
      </c>
      <c r="E56" s="2">
        <v>1.0</v>
      </c>
      <c r="F56" s="2">
        <v>0.131</v>
      </c>
      <c r="G56" s="5">
        <v>3.69E-5</v>
      </c>
      <c r="H56" s="2">
        <v>0.582</v>
      </c>
      <c r="I56" s="2">
        <v>0.207</v>
      </c>
      <c r="J56" s="2">
        <v>0.139</v>
      </c>
      <c r="K56" s="2">
        <v>108.017</v>
      </c>
      <c r="L56" s="2">
        <v>247564.0</v>
      </c>
      <c r="M56" s="2">
        <v>4.0</v>
      </c>
      <c r="N56" s="2">
        <v>0.0</v>
      </c>
    </row>
    <row r="57" ht="22.5" customHeight="1">
      <c r="A57" s="2">
        <v>0.568</v>
      </c>
      <c r="B57" s="2">
        <v>0.788</v>
      </c>
      <c r="C57" s="2">
        <v>2.0</v>
      </c>
      <c r="D57" s="2">
        <v>-7.654</v>
      </c>
      <c r="E57" s="2">
        <v>1.0</v>
      </c>
      <c r="F57" s="2">
        <v>0.069</v>
      </c>
      <c r="G57" s="2">
        <v>0.191</v>
      </c>
      <c r="H57" s="2">
        <v>1.76E-4</v>
      </c>
      <c r="I57" s="2">
        <v>0.0774</v>
      </c>
      <c r="J57" s="2">
        <v>0.328</v>
      </c>
      <c r="K57" s="2">
        <v>139.959</v>
      </c>
      <c r="L57" s="2">
        <v>219077.0</v>
      </c>
      <c r="M57" s="2">
        <v>4.0</v>
      </c>
      <c r="N57" s="2">
        <v>1.0</v>
      </c>
    </row>
    <row r="58" ht="22.5" customHeight="1">
      <c r="A58" s="2">
        <v>0.809</v>
      </c>
      <c r="B58" s="2">
        <v>0.653</v>
      </c>
      <c r="C58" s="2">
        <v>0.0</v>
      </c>
      <c r="D58" s="2">
        <v>-7.178</v>
      </c>
      <c r="E58" s="2">
        <v>0.0</v>
      </c>
      <c r="F58" s="2">
        <v>0.306</v>
      </c>
      <c r="G58" s="2">
        <v>0.335</v>
      </c>
      <c r="H58" s="2">
        <v>0.0</v>
      </c>
      <c r="I58" s="2">
        <v>0.11</v>
      </c>
      <c r="J58" s="2">
        <v>0.639</v>
      </c>
      <c r="K58" s="2">
        <v>139.981</v>
      </c>
      <c r="L58" s="2">
        <v>199093.0</v>
      </c>
      <c r="M58" s="2">
        <v>4.0</v>
      </c>
      <c r="N58" s="2">
        <v>1.0</v>
      </c>
    </row>
    <row r="59" ht="22.5" customHeight="1">
      <c r="A59" s="2">
        <v>0.757</v>
      </c>
      <c r="B59" s="2">
        <v>0.451</v>
      </c>
      <c r="C59" s="2">
        <v>2.0</v>
      </c>
      <c r="D59" s="2">
        <v>-11.121</v>
      </c>
      <c r="E59" s="2">
        <v>1.0</v>
      </c>
      <c r="F59" s="2">
        <v>0.292</v>
      </c>
      <c r="G59" s="2">
        <v>0.0485</v>
      </c>
      <c r="H59" s="5">
        <v>1.56E-6</v>
      </c>
      <c r="I59" s="2">
        <v>0.337</v>
      </c>
      <c r="J59" s="2">
        <v>0.506</v>
      </c>
      <c r="K59" s="2">
        <v>150.035</v>
      </c>
      <c r="L59" s="2">
        <v>167062.0</v>
      </c>
      <c r="M59" s="2">
        <v>4.0</v>
      </c>
      <c r="N59" s="2">
        <v>1.0</v>
      </c>
    </row>
    <row r="60" ht="22.5" customHeight="1">
      <c r="A60" s="2">
        <v>0.364</v>
      </c>
      <c r="B60" s="2">
        <v>0.00799</v>
      </c>
      <c r="C60" s="2">
        <v>8.0</v>
      </c>
      <c r="D60" s="2">
        <v>-33.09</v>
      </c>
      <c r="E60" s="2">
        <v>1.0</v>
      </c>
      <c r="F60" s="2">
        <v>0.0395</v>
      </c>
      <c r="G60" s="2">
        <v>0.978</v>
      </c>
      <c r="H60" s="2">
        <v>0.894</v>
      </c>
      <c r="I60" s="2">
        <v>0.109</v>
      </c>
      <c r="J60" s="2">
        <v>0.0674</v>
      </c>
      <c r="K60" s="2">
        <v>101.226</v>
      </c>
      <c r="L60" s="2">
        <v>216093.0</v>
      </c>
      <c r="M60" s="2">
        <v>4.0</v>
      </c>
      <c r="N60" s="2">
        <v>0.0</v>
      </c>
    </row>
    <row r="61" ht="22.5" customHeight="1">
      <c r="A61" s="2">
        <v>0.247</v>
      </c>
      <c r="B61" s="2">
        <v>0.992</v>
      </c>
      <c r="C61" s="2">
        <v>8.0</v>
      </c>
      <c r="D61" s="2">
        <v>-7.766</v>
      </c>
      <c r="E61" s="2">
        <v>0.0</v>
      </c>
      <c r="F61" s="2">
        <v>0.0772</v>
      </c>
      <c r="G61" s="5">
        <v>2.85E-5</v>
      </c>
      <c r="H61" s="2">
        <v>0.799</v>
      </c>
      <c r="I61" s="2">
        <v>0.0808</v>
      </c>
      <c r="J61" s="2">
        <v>0.318</v>
      </c>
      <c r="K61" s="2">
        <v>142.891</v>
      </c>
      <c r="L61" s="2">
        <v>237093.0</v>
      </c>
      <c r="M61" s="2">
        <v>4.0</v>
      </c>
      <c r="N61" s="2">
        <v>0.0</v>
      </c>
    </row>
    <row r="62" ht="22.5" customHeight="1">
      <c r="A62" s="2">
        <v>0.598</v>
      </c>
      <c r="B62" s="2">
        <v>0.673</v>
      </c>
      <c r="C62" s="2">
        <v>2.0</v>
      </c>
      <c r="D62" s="2">
        <v>-10.431</v>
      </c>
      <c r="E62" s="2">
        <v>1.0</v>
      </c>
      <c r="F62" s="2">
        <v>0.0693</v>
      </c>
      <c r="G62" s="2">
        <v>0.0422</v>
      </c>
      <c r="H62" s="5">
        <v>6.84E-5</v>
      </c>
      <c r="I62" s="2">
        <v>0.289</v>
      </c>
      <c r="J62" s="2">
        <v>0.59</v>
      </c>
      <c r="K62" s="2">
        <v>102.035</v>
      </c>
      <c r="L62" s="2">
        <v>197693.0</v>
      </c>
      <c r="M62" s="2">
        <v>4.0</v>
      </c>
      <c r="N62" s="2">
        <v>0.0</v>
      </c>
    </row>
    <row r="63" ht="22.5" customHeight="1">
      <c r="A63" s="2">
        <v>0.826</v>
      </c>
      <c r="B63" s="2">
        <v>0.556</v>
      </c>
      <c r="C63" s="2">
        <v>5.0</v>
      </c>
      <c r="D63" s="2">
        <v>-8.516</v>
      </c>
      <c r="E63" s="2">
        <v>0.0</v>
      </c>
      <c r="F63" s="2">
        <v>0.191</v>
      </c>
      <c r="G63" s="2">
        <v>0.684</v>
      </c>
      <c r="H63" s="2">
        <v>0.0</v>
      </c>
      <c r="I63" s="2">
        <v>0.119</v>
      </c>
      <c r="J63" s="2">
        <v>0.591</v>
      </c>
      <c r="K63" s="2">
        <v>150.067</v>
      </c>
      <c r="L63" s="2">
        <v>187006.0</v>
      </c>
      <c r="M63" s="2">
        <v>4.0</v>
      </c>
      <c r="N63" s="2">
        <v>1.0</v>
      </c>
    </row>
    <row r="64" ht="22.5" customHeight="1">
      <c r="A64" s="2">
        <v>0.318</v>
      </c>
      <c r="B64" s="2">
        <v>0.0633</v>
      </c>
      <c r="C64" s="2">
        <v>6.0</v>
      </c>
      <c r="D64" s="2">
        <v>-23.869</v>
      </c>
      <c r="E64" s="2">
        <v>1.0</v>
      </c>
      <c r="F64" s="2">
        <v>0.0507</v>
      </c>
      <c r="G64" s="2">
        <v>0.992</v>
      </c>
      <c r="H64" s="2">
        <v>0.871</v>
      </c>
      <c r="I64" s="2">
        <v>0.0831</v>
      </c>
      <c r="J64" s="2">
        <v>0.0384</v>
      </c>
      <c r="K64" s="2">
        <v>129.466</v>
      </c>
      <c r="L64" s="2">
        <v>199133.0</v>
      </c>
      <c r="M64" s="2">
        <v>3.0</v>
      </c>
      <c r="N64" s="2">
        <v>0.0</v>
      </c>
    </row>
    <row r="65" ht="22.5" customHeight="1">
      <c r="A65" s="2">
        <v>0.506</v>
      </c>
      <c r="B65" s="2">
        <v>0.881</v>
      </c>
      <c r="C65" s="2">
        <v>5.0</v>
      </c>
      <c r="D65" s="2">
        <v>-5.491</v>
      </c>
      <c r="E65" s="2">
        <v>0.0</v>
      </c>
      <c r="F65" s="2">
        <v>0.108</v>
      </c>
      <c r="G65" s="2">
        <v>1.63E-4</v>
      </c>
      <c r="H65" s="2">
        <v>0.00143</v>
      </c>
      <c r="I65" s="2">
        <v>0.23</v>
      </c>
      <c r="J65" s="2">
        <v>0.556</v>
      </c>
      <c r="K65" s="2">
        <v>148.084</v>
      </c>
      <c r="L65" s="2">
        <v>187322.0</v>
      </c>
      <c r="M65" s="2">
        <v>4.0</v>
      </c>
      <c r="N65" s="2">
        <v>1.0</v>
      </c>
    </row>
    <row r="66" ht="22.5" customHeight="1">
      <c r="A66" s="2">
        <v>0.138</v>
      </c>
      <c r="B66" s="2">
        <v>0.991</v>
      </c>
      <c r="C66" s="2">
        <v>8.0</v>
      </c>
      <c r="D66" s="2">
        <v>-5.661</v>
      </c>
      <c r="E66" s="2">
        <v>1.0</v>
      </c>
      <c r="F66" s="2">
        <v>0.175</v>
      </c>
      <c r="G66" s="5">
        <v>1.53E-5</v>
      </c>
      <c r="H66" s="2">
        <v>0.831</v>
      </c>
      <c r="I66" s="2">
        <v>0.337</v>
      </c>
      <c r="J66" s="2">
        <v>0.0718</v>
      </c>
      <c r="K66" s="2">
        <v>94.443</v>
      </c>
      <c r="L66" s="2">
        <v>244239.0</v>
      </c>
      <c r="M66" s="2">
        <v>1.0</v>
      </c>
      <c r="N66" s="2">
        <v>0.0</v>
      </c>
    </row>
    <row r="67" ht="22.5" customHeight="1">
      <c r="A67" s="2">
        <v>0.531</v>
      </c>
      <c r="B67" s="2">
        <v>0.803</v>
      </c>
      <c r="C67" s="2">
        <v>8.0</v>
      </c>
      <c r="D67" s="2">
        <v>-3.929</v>
      </c>
      <c r="E67" s="2">
        <v>0.0</v>
      </c>
      <c r="F67" s="2">
        <v>0.339</v>
      </c>
      <c r="G67" s="2">
        <v>0.325</v>
      </c>
      <c r="H67" s="2">
        <v>0.0</v>
      </c>
      <c r="I67" s="2">
        <v>0.368</v>
      </c>
      <c r="J67" s="2">
        <v>0.414</v>
      </c>
      <c r="K67" s="2">
        <v>97.51</v>
      </c>
      <c r="L67" s="2">
        <v>191133.0</v>
      </c>
      <c r="M67" s="2">
        <v>5.0</v>
      </c>
      <c r="N67" s="2">
        <v>1.0</v>
      </c>
    </row>
    <row r="68" ht="22.5" customHeight="1">
      <c r="A68" s="2">
        <v>0.791</v>
      </c>
      <c r="B68" s="2">
        <v>0.5</v>
      </c>
      <c r="C68" s="2">
        <v>1.0</v>
      </c>
      <c r="D68" s="2">
        <v>-9.805</v>
      </c>
      <c r="E68" s="2">
        <v>0.0</v>
      </c>
      <c r="F68" s="2">
        <v>0.42</v>
      </c>
      <c r="G68" s="2">
        <v>0.603</v>
      </c>
      <c r="H68" s="2">
        <v>0.0</v>
      </c>
      <c r="I68" s="2">
        <v>0.0993</v>
      </c>
      <c r="J68" s="2">
        <v>0.492</v>
      </c>
      <c r="K68" s="2">
        <v>130.027</v>
      </c>
      <c r="L68" s="2">
        <v>170582.0</v>
      </c>
      <c r="M68" s="2">
        <v>4.0</v>
      </c>
      <c r="N68" s="2">
        <v>1.0</v>
      </c>
    </row>
    <row r="69" ht="22.5" customHeight="1">
      <c r="A69" s="2">
        <v>0.68</v>
      </c>
      <c r="B69" s="2">
        <v>0.877</v>
      </c>
      <c r="C69" s="2">
        <v>5.0</v>
      </c>
      <c r="D69" s="2">
        <v>-10.241</v>
      </c>
      <c r="E69" s="2">
        <v>0.0</v>
      </c>
      <c r="F69" s="2">
        <v>0.0353</v>
      </c>
      <c r="G69" s="2">
        <v>0.191</v>
      </c>
      <c r="H69" s="2">
        <v>6.56E-4</v>
      </c>
      <c r="I69" s="2">
        <v>0.349</v>
      </c>
      <c r="J69" s="2">
        <v>0.922</v>
      </c>
      <c r="K69" s="2">
        <v>108.674</v>
      </c>
      <c r="L69" s="2">
        <v>185107.0</v>
      </c>
      <c r="M69" s="2">
        <v>4.0</v>
      </c>
      <c r="N69" s="2">
        <v>0.0</v>
      </c>
    </row>
    <row r="70" ht="22.5" customHeight="1">
      <c r="A70" s="2">
        <v>0.752</v>
      </c>
      <c r="B70" s="2">
        <v>0.468</v>
      </c>
      <c r="C70" s="2">
        <v>0.0</v>
      </c>
      <c r="D70" s="2">
        <v>-9.966</v>
      </c>
      <c r="E70" s="2">
        <v>1.0</v>
      </c>
      <c r="F70" s="2">
        <v>0.333</v>
      </c>
      <c r="G70" s="2">
        <v>0.805</v>
      </c>
      <c r="H70" s="2">
        <v>0.0</v>
      </c>
      <c r="I70" s="2">
        <v>0.136</v>
      </c>
      <c r="J70" s="2">
        <v>0.716</v>
      </c>
      <c r="K70" s="2">
        <v>82.795</v>
      </c>
      <c r="L70" s="2">
        <v>179253.0</v>
      </c>
      <c r="M70" s="2">
        <v>4.0</v>
      </c>
      <c r="N70" s="2">
        <v>1.0</v>
      </c>
    </row>
    <row r="71" ht="22.5" customHeight="1">
      <c r="A71" s="2">
        <v>0.797</v>
      </c>
      <c r="B71" s="2">
        <v>0.654</v>
      </c>
      <c r="C71" s="2">
        <v>8.0</v>
      </c>
      <c r="D71" s="2">
        <v>-7.373</v>
      </c>
      <c r="E71" s="2">
        <v>1.0</v>
      </c>
      <c r="F71" s="2">
        <v>0.245</v>
      </c>
      <c r="G71" s="2">
        <v>0.633</v>
      </c>
      <c r="H71" s="2">
        <v>0.0</v>
      </c>
      <c r="I71" s="2">
        <v>0.106</v>
      </c>
      <c r="J71" s="2">
        <v>0.64</v>
      </c>
      <c r="K71" s="2">
        <v>145.121</v>
      </c>
      <c r="L71" s="2">
        <v>172520.0</v>
      </c>
      <c r="M71" s="2">
        <v>4.0</v>
      </c>
      <c r="N71" s="2">
        <v>1.0</v>
      </c>
    </row>
    <row r="72" ht="22.5" customHeight="1">
      <c r="A72" s="2">
        <v>0.774</v>
      </c>
      <c r="B72" s="2">
        <v>0.853</v>
      </c>
      <c r="C72" s="2">
        <v>1.0</v>
      </c>
      <c r="D72" s="2">
        <v>-6.933</v>
      </c>
      <c r="E72" s="2">
        <v>1.0</v>
      </c>
      <c r="F72" s="2">
        <v>0.246</v>
      </c>
      <c r="G72" s="2">
        <v>0.0275</v>
      </c>
      <c r="H72" s="2">
        <v>0.0</v>
      </c>
      <c r="I72" s="2">
        <v>0.0876</v>
      </c>
      <c r="J72" s="2">
        <v>0.619</v>
      </c>
      <c r="K72" s="2">
        <v>123.041</v>
      </c>
      <c r="L72" s="2">
        <v>106000.0</v>
      </c>
      <c r="M72" s="2">
        <v>4.0</v>
      </c>
      <c r="N72" s="2">
        <v>1.0</v>
      </c>
    </row>
    <row r="73" ht="22.5" customHeight="1">
      <c r="A73" s="2">
        <v>0.851</v>
      </c>
      <c r="B73" s="2">
        <v>0.686</v>
      </c>
      <c r="C73" s="2">
        <v>11.0</v>
      </c>
      <c r="D73" s="2">
        <v>-8.143</v>
      </c>
      <c r="E73" s="2">
        <v>1.0</v>
      </c>
      <c r="F73" s="2">
        <v>0.222</v>
      </c>
      <c r="G73" s="2">
        <v>0.597</v>
      </c>
      <c r="H73" s="5">
        <v>1.08E-6</v>
      </c>
      <c r="I73" s="2">
        <v>0.111</v>
      </c>
      <c r="J73" s="2">
        <v>0.752</v>
      </c>
      <c r="K73" s="2">
        <v>154.986</v>
      </c>
      <c r="L73" s="2">
        <v>195344.0</v>
      </c>
      <c r="M73" s="2">
        <v>4.0</v>
      </c>
      <c r="N73" s="2">
        <v>1.0</v>
      </c>
    </row>
    <row r="74" ht="22.5" customHeight="1">
      <c r="A74" s="2">
        <v>0.75</v>
      </c>
      <c r="B74" s="2">
        <v>0.772</v>
      </c>
      <c r="C74" s="2">
        <v>10.0</v>
      </c>
      <c r="D74" s="2">
        <v>-8.706</v>
      </c>
      <c r="E74" s="2">
        <v>0.0</v>
      </c>
      <c r="F74" s="2">
        <v>0.157</v>
      </c>
      <c r="G74" s="2">
        <v>0.206</v>
      </c>
      <c r="H74" s="2">
        <v>0.0</v>
      </c>
      <c r="I74" s="2">
        <v>0.0748</v>
      </c>
      <c r="J74" s="2">
        <v>0.561</v>
      </c>
      <c r="K74" s="2">
        <v>139.98</v>
      </c>
      <c r="L74" s="2">
        <v>224496.0</v>
      </c>
      <c r="M74" s="2">
        <v>4.0</v>
      </c>
      <c r="N74" s="2">
        <v>1.0</v>
      </c>
    </row>
    <row r="75" ht="22.5" customHeight="1">
      <c r="A75" s="2">
        <v>0.843</v>
      </c>
      <c r="B75" s="2">
        <v>0.656</v>
      </c>
      <c r="C75" s="2">
        <v>1.0</v>
      </c>
      <c r="D75" s="2">
        <v>-11.184</v>
      </c>
      <c r="E75" s="2">
        <v>1.0</v>
      </c>
      <c r="F75" s="2">
        <v>0.0595</v>
      </c>
      <c r="G75" s="2">
        <v>0.0466</v>
      </c>
      <c r="H75" s="2">
        <v>0.0187</v>
      </c>
      <c r="I75" s="2">
        <v>0.169</v>
      </c>
      <c r="J75" s="2">
        <v>0.931</v>
      </c>
      <c r="K75" s="2">
        <v>121.112</v>
      </c>
      <c r="L75" s="2">
        <v>215653.0</v>
      </c>
      <c r="M75" s="2">
        <v>4.0</v>
      </c>
      <c r="N75" s="2">
        <v>0.0</v>
      </c>
    </row>
    <row r="76" ht="22.5" customHeight="1">
      <c r="A76" s="2">
        <v>0.539</v>
      </c>
      <c r="B76" s="2">
        <v>0.487</v>
      </c>
      <c r="C76" s="2">
        <v>1.0</v>
      </c>
      <c r="D76" s="2">
        <v>-9.653</v>
      </c>
      <c r="E76" s="2">
        <v>1.0</v>
      </c>
      <c r="F76" s="2">
        <v>0.202</v>
      </c>
      <c r="G76" s="2">
        <v>0.309</v>
      </c>
      <c r="H76" s="2">
        <v>0.0</v>
      </c>
      <c r="I76" s="2">
        <v>0.097</v>
      </c>
      <c r="J76" s="2">
        <v>0.375</v>
      </c>
      <c r="K76" s="2">
        <v>169.985</v>
      </c>
      <c r="L76" s="2">
        <v>186353.0</v>
      </c>
      <c r="M76" s="2">
        <v>4.0</v>
      </c>
      <c r="N76" s="2">
        <v>0.0</v>
      </c>
    </row>
    <row r="77" ht="22.5" customHeight="1">
      <c r="A77" s="2">
        <v>0.454</v>
      </c>
      <c r="B77" s="2">
        <v>0.968</v>
      </c>
      <c r="C77" s="2">
        <v>6.0</v>
      </c>
      <c r="D77" s="2">
        <v>-6.289</v>
      </c>
      <c r="E77" s="2">
        <v>1.0</v>
      </c>
      <c r="F77" s="2">
        <v>0.0787</v>
      </c>
      <c r="G77" s="5">
        <v>1.73E-5</v>
      </c>
      <c r="H77" s="2">
        <v>0.338</v>
      </c>
      <c r="I77" s="2">
        <v>0.0472</v>
      </c>
      <c r="J77" s="2">
        <v>0.535</v>
      </c>
      <c r="K77" s="2">
        <v>103.965</v>
      </c>
      <c r="L77" s="2">
        <v>250262.0</v>
      </c>
      <c r="M77" s="2">
        <v>4.0</v>
      </c>
      <c r="N77" s="2">
        <v>0.0</v>
      </c>
    </row>
    <row r="78" ht="22.5" customHeight="1">
      <c r="A78" s="2">
        <v>0.446</v>
      </c>
      <c r="B78" s="2">
        <v>0.977</v>
      </c>
      <c r="C78" s="2">
        <v>10.0</v>
      </c>
      <c r="D78" s="2">
        <v>-5.036</v>
      </c>
      <c r="E78" s="2">
        <v>0.0</v>
      </c>
      <c r="F78" s="2">
        <v>0.0781</v>
      </c>
      <c r="G78" s="2">
        <v>5.35E-4</v>
      </c>
      <c r="H78" s="2">
        <v>0.472</v>
      </c>
      <c r="I78" s="2">
        <v>0.105</v>
      </c>
      <c r="J78" s="2">
        <v>0.339</v>
      </c>
      <c r="K78" s="2">
        <v>172.059</v>
      </c>
      <c r="L78" s="2">
        <v>284400.0</v>
      </c>
      <c r="M78" s="2">
        <v>4.0</v>
      </c>
      <c r="N78" s="2">
        <v>0.0</v>
      </c>
    </row>
    <row r="79" ht="22.5" customHeight="1">
      <c r="A79" s="2">
        <v>0.827</v>
      </c>
      <c r="B79" s="2">
        <v>0.804</v>
      </c>
      <c r="C79" s="2">
        <v>9.0</v>
      </c>
      <c r="D79" s="2">
        <v>-5.846</v>
      </c>
      <c r="E79" s="2">
        <v>1.0</v>
      </c>
      <c r="F79" s="2">
        <v>0.128</v>
      </c>
      <c r="G79" s="2">
        <v>0.455</v>
      </c>
      <c r="H79" s="5">
        <v>1.41E-6</v>
      </c>
      <c r="I79" s="2">
        <v>0.272</v>
      </c>
      <c r="J79" s="2">
        <v>0.566</v>
      </c>
      <c r="K79" s="2">
        <v>146.079</v>
      </c>
      <c r="L79" s="2">
        <v>178588.0</v>
      </c>
      <c r="M79" s="2">
        <v>4.0</v>
      </c>
      <c r="N79" s="2">
        <v>1.0</v>
      </c>
    </row>
    <row r="80" ht="22.5" customHeight="1">
      <c r="A80" s="2">
        <v>0.74</v>
      </c>
      <c r="B80" s="2">
        <v>0.403</v>
      </c>
      <c r="C80" s="2">
        <v>6.0</v>
      </c>
      <c r="D80" s="2">
        <v>-9.311</v>
      </c>
      <c r="E80" s="2">
        <v>0.0</v>
      </c>
      <c r="F80" s="2">
        <v>0.0635</v>
      </c>
      <c r="G80" s="2">
        <v>0.509</v>
      </c>
      <c r="H80" s="2">
        <v>0.0247</v>
      </c>
      <c r="I80" s="2">
        <v>0.104</v>
      </c>
      <c r="J80" s="2">
        <v>0.331</v>
      </c>
      <c r="K80" s="2">
        <v>138.013</v>
      </c>
      <c r="L80" s="2">
        <v>173120.0</v>
      </c>
      <c r="M80" s="2">
        <v>4.0</v>
      </c>
      <c r="N80" s="2">
        <v>1.0</v>
      </c>
    </row>
    <row r="81" ht="22.5" customHeight="1">
      <c r="A81" s="2">
        <v>0.833</v>
      </c>
      <c r="B81" s="2">
        <v>0.813</v>
      </c>
      <c r="C81" s="2">
        <v>4.0</v>
      </c>
      <c r="D81" s="2">
        <v>-5.708</v>
      </c>
      <c r="E81" s="2">
        <v>0.0</v>
      </c>
      <c r="F81" s="2">
        <v>0.29</v>
      </c>
      <c r="G81" s="2">
        <v>0.244</v>
      </c>
      <c r="H81" s="2">
        <v>0.0</v>
      </c>
      <c r="I81" s="2">
        <v>0.128</v>
      </c>
      <c r="J81" s="2">
        <v>0.705</v>
      </c>
      <c r="K81" s="2">
        <v>154.062</v>
      </c>
      <c r="L81" s="2">
        <v>217760.0</v>
      </c>
      <c r="M81" s="2">
        <v>4.0</v>
      </c>
      <c r="N81" s="2">
        <v>1.0</v>
      </c>
    </row>
    <row r="82" ht="22.5" customHeight="1">
      <c r="A82" s="2">
        <v>0.789</v>
      </c>
      <c r="B82" s="2">
        <v>0.84</v>
      </c>
      <c r="C82" s="2">
        <v>9.0</v>
      </c>
      <c r="D82" s="2">
        <v>-5.29</v>
      </c>
      <c r="E82" s="2">
        <v>1.0</v>
      </c>
      <c r="F82" s="2">
        <v>0.097</v>
      </c>
      <c r="G82" s="2">
        <v>0.0309</v>
      </c>
      <c r="H82" s="2">
        <v>0.0</v>
      </c>
      <c r="I82" s="2">
        <v>0.0916</v>
      </c>
      <c r="J82" s="2">
        <v>0.494</v>
      </c>
      <c r="K82" s="2">
        <v>136.059</v>
      </c>
      <c r="L82" s="2">
        <v>84000.0</v>
      </c>
      <c r="M82" s="2">
        <v>4.0</v>
      </c>
      <c r="N82" s="2">
        <v>1.0</v>
      </c>
    </row>
    <row r="83" ht="22.5" customHeight="1">
      <c r="A83" s="2">
        <v>0.62</v>
      </c>
      <c r="B83" s="2">
        <v>0.573</v>
      </c>
      <c r="C83" s="2">
        <v>0.0</v>
      </c>
      <c r="D83" s="2">
        <v>-11.893</v>
      </c>
      <c r="E83" s="2">
        <v>1.0</v>
      </c>
      <c r="F83" s="2">
        <v>0.0423</v>
      </c>
      <c r="G83" s="2">
        <v>0.271</v>
      </c>
      <c r="H83" s="2">
        <v>0.0</v>
      </c>
      <c r="I83" s="2">
        <v>0.0607</v>
      </c>
      <c r="J83" s="2">
        <v>0.897</v>
      </c>
      <c r="K83" s="2">
        <v>81.548</v>
      </c>
      <c r="L83" s="2">
        <v>231333.0</v>
      </c>
      <c r="M83" s="2">
        <v>4.0</v>
      </c>
      <c r="N83" s="2">
        <v>0.0</v>
      </c>
    </row>
    <row r="84" ht="22.5" customHeight="1">
      <c r="A84" s="2">
        <v>0.752</v>
      </c>
      <c r="B84" s="2">
        <v>0.905</v>
      </c>
      <c r="C84" s="2">
        <v>11.0</v>
      </c>
      <c r="D84" s="2">
        <v>-7.015</v>
      </c>
      <c r="E84" s="2">
        <v>0.0</v>
      </c>
      <c r="F84" s="2">
        <v>0.181</v>
      </c>
      <c r="G84" s="2">
        <v>0.0931</v>
      </c>
      <c r="H84" s="2">
        <v>7.39E-4</v>
      </c>
      <c r="I84" s="2">
        <v>0.355</v>
      </c>
      <c r="J84" s="2">
        <v>0.521</v>
      </c>
      <c r="K84" s="2">
        <v>150.991</v>
      </c>
      <c r="L84" s="2">
        <v>179107.0</v>
      </c>
      <c r="M84" s="2">
        <v>4.0</v>
      </c>
      <c r="N84" s="2">
        <v>1.0</v>
      </c>
    </row>
    <row r="85" ht="22.5" customHeight="1">
      <c r="A85" s="2">
        <v>0.701</v>
      </c>
      <c r="B85" s="2">
        <v>0.341</v>
      </c>
      <c r="C85" s="2">
        <v>1.0</v>
      </c>
      <c r="D85" s="2">
        <v>-12.26</v>
      </c>
      <c r="E85" s="2">
        <v>0.0</v>
      </c>
      <c r="F85" s="2">
        <v>0.0418</v>
      </c>
      <c r="G85" s="2">
        <v>0.499</v>
      </c>
      <c r="H85" s="2">
        <v>0.903</v>
      </c>
      <c r="I85" s="2">
        <v>0.359</v>
      </c>
      <c r="J85" s="2">
        <v>0.163</v>
      </c>
      <c r="K85" s="2">
        <v>105.513</v>
      </c>
      <c r="L85" s="2">
        <v>151507.0</v>
      </c>
      <c r="M85" s="2">
        <v>3.0</v>
      </c>
      <c r="N85" s="2">
        <v>0.0</v>
      </c>
    </row>
    <row r="86" ht="22.5" customHeight="1">
      <c r="A86" s="2">
        <v>0.83</v>
      </c>
      <c r="B86" s="2">
        <v>0.707</v>
      </c>
      <c r="C86" s="2">
        <v>2.0</v>
      </c>
      <c r="D86" s="2">
        <v>-5.777</v>
      </c>
      <c r="E86" s="2">
        <v>1.0</v>
      </c>
      <c r="F86" s="2">
        <v>0.277</v>
      </c>
      <c r="G86" s="2">
        <v>0.167</v>
      </c>
      <c r="H86" s="2">
        <v>0.0</v>
      </c>
      <c r="I86" s="2">
        <v>0.0797</v>
      </c>
      <c r="J86" s="2">
        <v>0.682</v>
      </c>
      <c r="K86" s="2">
        <v>146.154</v>
      </c>
      <c r="L86" s="2">
        <v>190685.0</v>
      </c>
      <c r="M86" s="2">
        <v>4.0</v>
      </c>
      <c r="N86" s="2">
        <v>1.0</v>
      </c>
    </row>
    <row r="87" ht="22.5" customHeight="1">
      <c r="A87" s="2">
        <v>0.779</v>
      </c>
      <c r="B87" s="2">
        <v>0.705</v>
      </c>
      <c r="C87" s="2">
        <v>4.0</v>
      </c>
      <c r="D87" s="2">
        <v>-7.834</v>
      </c>
      <c r="E87" s="2">
        <v>0.0</v>
      </c>
      <c r="F87" s="2">
        <v>0.0827</v>
      </c>
      <c r="G87" s="2">
        <v>0.277</v>
      </c>
      <c r="H87" s="2">
        <v>0.0</v>
      </c>
      <c r="I87" s="2">
        <v>0.0804</v>
      </c>
      <c r="J87" s="2">
        <v>0.228</v>
      </c>
      <c r="K87" s="2">
        <v>103.048</v>
      </c>
      <c r="L87" s="2">
        <v>233597.0</v>
      </c>
      <c r="M87" s="2">
        <v>4.0</v>
      </c>
      <c r="N87" s="2">
        <v>0.0</v>
      </c>
    </row>
    <row r="88" ht="22.5" customHeight="1">
      <c r="A88" s="2">
        <v>0.263</v>
      </c>
      <c r="B88" s="2">
        <v>0.202</v>
      </c>
      <c r="C88" s="2">
        <v>1.0</v>
      </c>
      <c r="D88" s="2">
        <v>-17.687</v>
      </c>
      <c r="E88" s="2">
        <v>1.0</v>
      </c>
      <c r="F88" s="2">
        <v>0.0408</v>
      </c>
      <c r="G88" s="2">
        <v>0.984</v>
      </c>
      <c r="H88" s="2">
        <v>0.905</v>
      </c>
      <c r="I88" s="2">
        <v>0.089</v>
      </c>
      <c r="J88" s="2">
        <v>0.12</v>
      </c>
      <c r="K88" s="2">
        <v>71.462</v>
      </c>
      <c r="L88" s="2">
        <v>545747.0</v>
      </c>
      <c r="M88" s="2">
        <v>4.0</v>
      </c>
      <c r="N88" s="2">
        <v>0.0</v>
      </c>
    </row>
    <row r="89" ht="22.5" customHeight="1">
      <c r="A89" s="2">
        <v>0.338</v>
      </c>
      <c r="B89" s="2">
        <v>0.988</v>
      </c>
      <c r="C89" s="2">
        <v>8.0</v>
      </c>
      <c r="D89" s="2">
        <v>-7.29</v>
      </c>
      <c r="E89" s="2">
        <v>0.0</v>
      </c>
      <c r="F89" s="2">
        <v>0.0865</v>
      </c>
      <c r="G89" s="5">
        <v>8.35E-5</v>
      </c>
      <c r="H89" s="2">
        <v>0.833</v>
      </c>
      <c r="I89" s="2">
        <v>0.0377</v>
      </c>
      <c r="J89" s="2">
        <v>0.449</v>
      </c>
      <c r="K89" s="2">
        <v>99.046</v>
      </c>
      <c r="L89" s="2">
        <v>221960.0</v>
      </c>
      <c r="M89" s="2">
        <v>4.0</v>
      </c>
      <c r="N89" s="2">
        <v>0.0</v>
      </c>
    </row>
    <row r="90" ht="22.5" customHeight="1">
      <c r="A90" s="2">
        <v>0.814</v>
      </c>
      <c r="B90" s="2">
        <v>0.672</v>
      </c>
      <c r="C90" s="2">
        <v>9.0</v>
      </c>
      <c r="D90" s="2">
        <v>-12.068</v>
      </c>
      <c r="E90" s="2">
        <v>1.0</v>
      </c>
      <c r="F90" s="2">
        <v>0.0619</v>
      </c>
      <c r="G90" s="2">
        <v>0.0435</v>
      </c>
      <c r="H90" s="2">
        <v>0.0</v>
      </c>
      <c r="I90" s="2">
        <v>0.061</v>
      </c>
      <c r="J90" s="2">
        <v>0.933</v>
      </c>
      <c r="K90" s="2">
        <v>109.394</v>
      </c>
      <c r="L90" s="2">
        <v>300000.0</v>
      </c>
      <c r="M90" s="2">
        <v>4.0</v>
      </c>
      <c r="N90" s="2">
        <v>0.0</v>
      </c>
    </row>
    <row r="91" ht="22.5" customHeight="1">
      <c r="A91" s="2">
        <v>0.78</v>
      </c>
      <c r="B91" s="2">
        <v>0.551</v>
      </c>
      <c r="C91" s="2">
        <v>5.0</v>
      </c>
      <c r="D91" s="2">
        <v>-13.038</v>
      </c>
      <c r="E91" s="2">
        <v>0.0</v>
      </c>
      <c r="F91" s="2">
        <v>0.0625</v>
      </c>
      <c r="G91" s="2">
        <v>0.0613</v>
      </c>
      <c r="H91" s="2">
        <v>0.104</v>
      </c>
      <c r="I91" s="2">
        <v>0.0331</v>
      </c>
      <c r="J91" s="2">
        <v>0.969</v>
      </c>
      <c r="K91" s="2">
        <v>126.009</v>
      </c>
      <c r="L91" s="2">
        <v>491933.0</v>
      </c>
      <c r="M91" s="2">
        <v>4.0</v>
      </c>
      <c r="N91" s="2">
        <v>0.0</v>
      </c>
    </row>
    <row r="92" ht="22.5" customHeight="1">
      <c r="A92" s="2">
        <v>0.567</v>
      </c>
      <c r="B92" s="2">
        <v>0.797</v>
      </c>
      <c r="C92" s="2">
        <v>1.0</v>
      </c>
      <c r="D92" s="2">
        <v>-3.071</v>
      </c>
      <c r="E92" s="2">
        <v>0.0</v>
      </c>
      <c r="F92" s="2">
        <v>0.2</v>
      </c>
      <c r="G92" s="2">
        <v>0.392</v>
      </c>
      <c r="H92" s="2">
        <v>0.0</v>
      </c>
      <c r="I92" s="2">
        <v>0.116</v>
      </c>
      <c r="J92" s="2">
        <v>0.654</v>
      </c>
      <c r="K92" s="2">
        <v>110.882</v>
      </c>
      <c r="L92" s="2">
        <v>218732.0</v>
      </c>
      <c r="M92" s="2">
        <v>3.0</v>
      </c>
      <c r="N92" s="2">
        <v>1.0</v>
      </c>
    </row>
    <row r="93" ht="22.5" customHeight="1">
      <c r="A93" s="2">
        <v>0.651</v>
      </c>
      <c r="B93" s="2">
        <v>0.811</v>
      </c>
      <c r="C93" s="2">
        <v>10.0</v>
      </c>
      <c r="D93" s="2">
        <v>-13.87</v>
      </c>
      <c r="E93" s="2">
        <v>1.0</v>
      </c>
      <c r="F93" s="2">
        <v>0.0318</v>
      </c>
      <c r="G93" s="2">
        <v>0.0648</v>
      </c>
      <c r="H93" s="2">
        <v>0.0293</v>
      </c>
      <c r="I93" s="2">
        <v>0.1</v>
      </c>
      <c r="J93" s="2">
        <v>0.962</v>
      </c>
      <c r="K93" s="2">
        <v>112.126</v>
      </c>
      <c r="L93" s="2">
        <v>186573.0</v>
      </c>
      <c r="M93" s="2">
        <v>4.0</v>
      </c>
      <c r="N93" s="2">
        <v>0.0</v>
      </c>
    </row>
    <row r="94" ht="22.5" customHeight="1">
      <c r="A94" s="2">
        <v>0.798</v>
      </c>
      <c r="B94" s="2">
        <v>0.564</v>
      </c>
      <c r="C94" s="2">
        <v>2.0</v>
      </c>
      <c r="D94" s="2">
        <v>-5.98</v>
      </c>
      <c r="E94" s="2">
        <v>1.0</v>
      </c>
      <c r="F94" s="2">
        <v>0.047</v>
      </c>
      <c r="G94" s="2">
        <v>0.23</v>
      </c>
      <c r="H94" s="5">
        <v>1.83E-5</v>
      </c>
      <c r="I94" s="2">
        <v>0.183</v>
      </c>
      <c r="J94" s="2">
        <v>0.394</v>
      </c>
      <c r="K94" s="2">
        <v>108.004</v>
      </c>
      <c r="L94" s="2">
        <v>254218.0</v>
      </c>
      <c r="M94" s="2">
        <v>4.0</v>
      </c>
      <c r="N94" s="2">
        <v>0.0</v>
      </c>
    </row>
    <row r="95" ht="22.5" customHeight="1">
      <c r="A95" s="2">
        <v>0.798</v>
      </c>
      <c r="B95" s="2">
        <v>0.746</v>
      </c>
      <c r="C95" s="2">
        <v>10.0</v>
      </c>
      <c r="D95" s="2">
        <v>-8.639</v>
      </c>
      <c r="E95" s="2">
        <v>1.0</v>
      </c>
      <c r="F95" s="2">
        <v>0.0313</v>
      </c>
      <c r="G95" s="2">
        <v>0.0304</v>
      </c>
      <c r="H95" s="2">
        <v>0.361</v>
      </c>
      <c r="I95" s="2">
        <v>0.0703</v>
      </c>
      <c r="J95" s="2">
        <v>0.965</v>
      </c>
      <c r="K95" s="2">
        <v>128.553</v>
      </c>
      <c r="L95" s="2">
        <v>655213.0</v>
      </c>
      <c r="M95" s="2">
        <v>4.0</v>
      </c>
      <c r="N95" s="2">
        <v>0.0</v>
      </c>
    </row>
    <row r="96" ht="22.5" customHeight="1">
      <c r="A96" s="2">
        <v>0.908</v>
      </c>
      <c r="B96" s="2">
        <v>0.61</v>
      </c>
      <c r="C96" s="2">
        <v>9.0</v>
      </c>
      <c r="D96" s="2">
        <v>-5.735</v>
      </c>
      <c r="E96" s="2">
        <v>1.0</v>
      </c>
      <c r="F96" s="2">
        <v>0.271</v>
      </c>
      <c r="G96" s="2">
        <v>0.213</v>
      </c>
      <c r="H96" s="5">
        <v>3.36E-5</v>
      </c>
      <c r="I96" s="2">
        <v>0.241</v>
      </c>
      <c r="J96" s="2">
        <v>0.443</v>
      </c>
      <c r="K96" s="2">
        <v>140.006</v>
      </c>
      <c r="L96" s="2">
        <v>197613.0</v>
      </c>
      <c r="M96" s="2">
        <v>4.0</v>
      </c>
      <c r="N96" s="2">
        <v>1.0</v>
      </c>
    </row>
    <row r="97" ht="22.5" customHeight="1">
      <c r="A97" s="2">
        <v>0.783</v>
      </c>
      <c r="B97" s="2">
        <v>0.836</v>
      </c>
      <c r="C97" s="2">
        <v>0.0</v>
      </c>
      <c r="D97" s="2">
        <v>-9.223</v>
      </c>
      <c r="E97" s="2">
        <v>0.0</v>
      </c>
      <c r="F97" s="2">
        <v>0.0486</v>
      </c>
      <c r="G97" s="2">
        <v>0.396</v>
      </c>
      <c r="H97" s="2">
        <v>0.0236</v>
      </c>
      <c r="I97" s="2">
        <v>0.135</v>
      </c>
      <c r="J97" s="2">
        <v>0.831</v>
      </c>
      <c r="K97" s="2">
        <v>108.966</v>
      </c>
      <c r="L97" s="2">
        <v>222667.0</v>
      </c>
      <c r="M97" s="2">
        <v>4.0</v>
      </c>
      <c r="N97" s="2">
        <v>0.0</v>
      </c>
    </row>
    <row r="98" ht="22.5" customHeight="1">
      <c r="A98" s="2">
        <v>0.83</v>
      </c>
      <c r="B98" s="2">
        <v>0.612</v>
      </c>
      <c r="C98" s="2">
        <v>10.0</v>
      </c>
      <c r="D98" s="2">
        <v>-7.446</v>
      </c>
      <c r="E98" s="2">
        <v>0.0</v>
      </c>
      <c r="F98" s="2">
        <v>0.079</v>
      </c>
      <c r="G98" s="2">
        <v>0.112</v>
      </c>
      <c r="H98" s="2">
        <v>0.0</v>
      </c>
      <c r="I98" s="2">
        <v>0.0892</v>
      </c>
      <c r="J98" s="2">
        <v>0.252</v>
      </c>
      <c r="K98" s="2">
        <v>97.989</v>
      </c>
      <c r="L98" s="2">
        <v>243956.0</v>
      </c>
      <c r="M98" s="2">
        <v>4.0</v>
      </c>
      <c r="N98" s="2">
        <v>1.0</v>
      </c>
    </row>
    <row r="99" ht="22.5" customHeight="1">
      <c r="A99" s="2">
        <v>0.832</v>
      </c>
      <c r="B99" s="2">
        <v>0.553</v>
      </c>
      <c r="C99" s="2">
        <v>7.0</v>
      </c>
      <c r="D99" s="2">
        <v>-13.705</v>
      </c>
      <c r="E99" s="2">
        <v>1.0</v>
      </c>
      <c r="F99" s="2">
        <v>0.0487</v>
      </c>
      <c r="G99" s="2">
        <v>0.0422</v>
      </c>
      <c r="H99" s="2">
        <v>0.00356</v>
      </c>
      <c r="I99" s="2">
        <v>0.249</v>
      </c>
      <c r="J99" s="2">
        <v>0.89</v>
      </c>
      <c r="K99" s="2">
        <v>119.825</v>
      </c>
      <c r="L99" s="2">
        <v>215693.0</v>
      </c>
      <c r="M99" s="2">
        <v>4.0</v>
      </c>
      <c r="N99" s="2">
        <v>0.0</v>
      </c>
    </row>
    <row r="100" ht="22.5" customHeight="1">
      <c r="A100" s="2">
        <v>0.764</v>
      </c>
      <c r="B100" s="2">
        <v>0.812</v>
      </c>
      <c r="C100" s="2">
        <v>7.0</v>
      </c>
      <c r="D100" s="2">
        <v>-4.946</v>
      </c>
      <c r="E100" s="2">
        <v>1.0</v>
      </c>
      <c r="F100" s="2">
        <v>0.179</v>
      </c>
      <c r="G100" s="2">
        <v>0.202</v>
      </c>
      <c r="H100" s="2">
        <v>0.0</v>
      </c>
      <c r="I100" s="2">
        <v>0.126</v>
      </c>
      <c r="J100" s="2">
        <v>0.742</v>
      </c>
      <c r="K100" s="2">
        <v>139.961</v>
      </c>
      <c r="L100" s="2">
        <v>194973.0</v>
      </c>
      <c r="M100" s="2">
        <v>4.0</v>
      </c>
      <c r="N100" s="2">
        <v>1.0</v>
      </c>
    </row>
    <row r="101" ht="22.5" customHeight="1">
      <c r="A101" s="2">
        <v>0.901</v>
      </c>
      <c r="B101" s="2">
        <v>0.939</v>
      </c>
      <c r="C101" s="2">
        <v>6.0</v>
      </c>
      <c r="D101" s="2">
        <v>-2.762</v>
      </c>
      <c r="E101" s="2">
        <v>1.0</v>
      </c>
      <c r="F101" s="2">
        <v>0.274</v>
      </c>
      <c r="G101" s="2">
        <v>0.117</v>
      </c>
      <c r="H101" s="2">
        <v>0.0</v>
      </c>
      <c r="I101" s="2">
        <v>0.0643</v>
      </c>
      <c r="J101" s="2">
        <v>0.805</v>
      </c>
      <c r="K101" s="2">
        <v>142.948</v>
      </c>
      <c r="L101" s="2">
        <v>356347.0</v>
      </c>
      <c r="M101" s="2">
        <v>4.0</v>
      </c>
      <c r="N101" s="2">
        <v>1.0</v>
      </c>
    </row>
    <row r="102" ht="22.5" customHeight="1">
      <c r="A102" s="2">
        <v>0.715</v>
      </c>
      <c r="B102" s="2">
        <v>0.682</v>
      </c>
      <c r="C102" s="2">
        <v>7.0</v>
      </c>
      <c r="D102" s="2">
        <v>-7.714</v>
      </c>
      <c r="E102" s="2">
        <v>1.0</v>
      </c>
      <c r="F102" s="2">
        <v>0.1</v>
      </c>
      <c r="G102" s="2">
        <v>0.325</v>
      </c>
      <c r="H102" s="5">
        <v>4.2E-6</v>
      </c>
      <c r="I102" s="2">
        <v>0.0928</v>
      </c>
      <c r="J102" s="2">
        <v>0.136</v>
      </c>
      <c r="K102" s="2">
        <v>103.037</v>
      </c>
      <c r="L102" s="2">
        <v>230013.0</v>
      </c>
      <c r="M102" s="2">
        <v>4.0</v>
      </c>
      <c r="N102" s="2">
        <v>0.0</v>
      </c>
    </row>
    <row r="103" ht="22.5" customHeight="1">
      <c r="A103" s="2">
        <v>0.743</v>
      </c>
      <c r="B103" s="2">
        <v>0.663</v>
      </c>
      <c r="C103" s="2">
        <v>2.0</v>
      </c>
      <c r="D103" s="2">
        <v>-8.47</v>
      </c>
      <c r="E103" s="2">
        <v>1.0</v>
      </c>
      <c r="F103" s="2">
        <v>0.0507</v>
      </c>
      <c r="G103" s="2">
        <v>0.0148</v>
      </c>
      <c r="H103" s="2">
        <v>6.66E-4</v>
      </c>
      <c r="I103" s="2">
        <v>0.393</v>
      </c>
      <c r="J103" s="2">
        <v>0.415</v>
      </c>
      <c r="K103" s="2">
        <v>132.012</v>
      </c>
      <c r="L103" s="2">
        <v>100000.0</v>
      </c>
      <c r="M103" s="2">
        <v>4.0</v>
      </c>
      <c r="N103" s="2">
        <v>1.0</v>
      </c>
    </row>
    <row r="104" ht="22.5" customHeight="1">
      <c r="A104" s="2">
        <v>0.871</v>
      </c>
      <c r="B104" s="2">
        <v>0.673</v>
      </c>
      <c r="C104" s="2">
        <v>5.0</v>
      </c>
      <c r="D104" s="2">
        <v>-5.363</v>
      </c>
      <c r="E104" s="2">
        <v>0.0</v>
      </c>
      <c r="F104" s="2">
        <v>0.352</v>
      </c>
      <c r="G104" s="2">
        <v>0.287</v>
      </c>
      <c r="H104" s="2">
        <v>0.0</v>
      </c>
      <c r="I104" s="2">
        <v>0.219</v>
      </c>
      <c r="J104" s="2">
        <v>0.683</v>
      </c>
      <c r="K104" s="2">
        <v>152.085</v>
      </c>
      <c r="L104" s="2">
        <v>162960.0</v>
      </c>
      <c r="M104" s="2">
        <v>4.0</v>
      </c>
      <c r="N104" s="2">
        <v>1.0</v>
      </c>
    </row>
    <row r="105" ht="22.5" customHeight="1">
      <c r="A105" s="2">
        <v>0.251</v>
      </c>
      <c r="B105" s="2">
        <v>0.981</v>
      </c>
      <c r="C105" s="2">
        <v>10.0</v>
      </c>
      <c r="D105" s="2">
        <v>-7.282</v>
      </c>
      <c r="E105" s="2">
        <v>0.0</v>
      </c>
      <c r="F105" s="2">
        <v>0.118</v>
      </c>
      <c r="G105" s="5">
        <v>6.27E-5</v>
      </c>
      <c r="H105" s="2">
        <v>0.729</v>
      </c>
      <c r="I105" s="2">
        <v>0.219</v>
      </c>
      <c r="J105" s="2">
        <v>0.275</v>
      </c>
      <c r="K105" s="2">
        <v>99.338</v>
      </c>
      <c r="L105" s="2">
        <v>375307.0</v>
      </c>
      <c r="M105" s="2">
        <v>4.0</v>
      </c>
      <c r="N105" s="2">
        <v>0.0</v>
      </c>
    </row>
    <row r="106" ht="22.5" customHeight="1">
      <c r="A106" s="2">
        <v>0.792</v>
      </c>
      <c r="B106" s="2">
        <v>0.536</v>
      </c>
      <c r="C106" s="2">
        <v>9.0</v>
      </c>
      <c r="D106" s="2">
        <v>-10.784</v>
      </c>
      <c r="E106" s="2">
        <v>1.0</v>
      </c>
      <c r="F106" s="2">
        <v>0.0793</v>
      </c>
      <c r="G106" s="2">
        <v>8.09E-4</v>
      </c>
      <c r="H106" s="2">
        <v>0.00245</v>
      </c>
      <c r="I106" s="2">
        <v>0.0804</v>
      </c>
      <c r="J106" s="2">
        <v>0.451</v>
      </c>
      <c r="K106" s="2">
        <v>100.047</v>
      </c>
      <c r="L106" s="2">
        <v>149000.0</v>
      </c>
      <c r="M106" s="2">
        <v>4.0</v>
      </c>
      <c r="N106" s="2">
        <v>1.0</v>
      </c>
    </row>
    <row r="107" ht="22.5" customHeight="1">
      <c r="A107" s="2">
        <v>0.819</v>
      </c>
      <c r="B107" s="2">
        <v>0.811</v>
      </c>
      <c r="C107" s="2">
        <v>6.0</v>
      </c>
      <c r="D107" s="2">
        <v>-7.76</v>
      </c>
      <c r="E107" s="2">
        <v>0.0</v>
      </c>
      <c r="F107" s="2">
        <v>0.0349</v>
      </c>
      <c r="G107" s="2">
        <v>0.203</v>
      </c>
      <c r="H107" s="2">
        <v>0.00558</v>
      </c>
      <c r="I107" s="2">
        <v>0.139</v>
      </c>
      <c r="J107" s="2">
        <v>0.766</v>
      </c>
      <c r="K107" s="2">
        <v>106.684</v>
      </c>
      <c r="L107" s="2">
        <v>246760.0</v>
      </c>
      <c r="M107" s="2">
        <v>4.0</v>
      </c>
      <c r="N107" s="2">
        <v>0.0</v>
      </c>
    </row>
    <row r="108" ht="22.5" customHeight="1">
      <c r="A108" s="2">
        <v>0.29</v>
      </c>
      <c r="B108" s="2">
        <v>0.934</v>
      </c>
      <c r="C108" s="2">
        <v>10.0</v>
      </c>
      <c r="D108" s="2">
        <v>-4.679</v>
      </c>
      <c r="E108" s="2">
        <v>0.0</v>
      </c>
      <c r="F108" s="2">
        <v>0.0962</v>
      </c>
      <c r="G108" s="2">
        <v>3.25E-4</v>
      </c>
      <c r="H108" s="2">
        <v>0.853</v>
      </c>
      <c r="I108" s="2">
        <v>0.453</v>
      </c>
      <c r="J108" s="2">
        <v>0.18</v>
      </c>
      <c r="K108" s="2">
        <v>112.834</v>
      </c>
      <c r="L108" s="2">
        <v>225867.0</v>
      </c>
      <c r="M108" s="2">
        <v>3.0</v>
      </c>
      <c r="N108" s="2">
        <v>0.0</v>
      </c>
    </row>
    <row r="109" ht="22.5" customHeight="1">
      <c r="A109" s="2">
        <v>0.235</v>
      </c>
      <c r="B109" s="2">
        <v>0.365</v>
      </c>
      <c r="C109" s="2">
        <v>7.0</v>
      </c>
      <c r="D109" s="2">
        <v>-13.864</v>
      </c>
      <c r="E109" s="2">
        <v>1.0</v>
      </c>
      <c r="F109" s="2">
        <v>0.0356</v>
      </c>
      <c r="G109" s="2">
        <v>0.927</v>
      </c>
      <c r="H109" s="2">
        <v>0.907</v>
      </c>
      <c r="I109" s="2">
        <v>0.17</v>
      </c>
      <c r="J109" s="2">
        <v>0.126</v>
      </c>
      <c r="K109" s="2">
        <v>91.187</v>
      </c>
      <c r="L109" s="2">
        <v>183667.0</v>
      </c>
      <c r="M109" s="2">
        <v>3.0</v>
      </c>
      <c r="N109" s="2">
        <v>0.0</v>
      </c>
    </row>
    <row r="110" ht="22.5" customHeight="1">
      <c r="A110" s="2">
        <v>0.677</v>
      </c>
      <c r="B110" s="2">
        <v>0.616</v>
      </c>
      <c r="C110" s="2">
        <v>10.0</v>
      </c>
      <c r="D110" s="2">
        <v>-13.826</v>
      </c>
      <c r="E110" s="2">
        <v>1.0</v>
      </c>
      <c r="F110" s="2">
        <v>0.032</v>
      </c>
      <c r="G110" s="2">
        <v>0.458</v>
      </c>
      <c r="H110" s="2">
        <v>0.0132</v>
      </c>
      <c r="I110" s="2">
        <v>0.349</v>
      </c>
      <c r="J110" s="2">
        <v>0.851</v>
      </c>
      <c r="K110" s="2">
        <v>114.223</v>
      </c>
      <c r="L110" s="2">
        <v>226333.0</v>
      </c>
      <c r="M110" s="2">
        <v>4.0</v>
      </c>
      <c r="N110" s="2">
        <v>0.0</v>
      </c>
    </row>
    <row r="111" ht="22.5" customHeight="1">
      <c r="A111" s="2">
        <v>0.875</v>
      </c>
      <c r="B111" s="2">
        <v>0.474</v>
      </c>
      <c r="C111" s="2">
        <v>1.0</v>
      </c>
      <c r="D111" s="2">
        <v>-8.24</v>
      </c>
      <c r="E111" s="2">
        <v>1.0</v>
      </c>
      <c r="F111" s="2">
        <v>0.276</v>
      </c>
      <c r="G111" s="2">
        <v>0.3</v>
      </c>
      <c r="H111" s="5">
        <v>1.07E-6</v>
      </c>
      <c r="I111" s="2">
        <v>0.113</v>
      </c>
      <c r="J111" s="2">
        <v>0.558</v>
      </c>
      <c r="K111" s="2">
        <v>138.027</v>
      </c>
      <c r="L111" s="2">
        <v>146480.0</v>
      </c>
      <c r="M111" s="2">
        <v>4.0</v>
      </c>
      <c r="N111" s="2">
        <v>1.0</v>
      </c>
    </row>
    <row r="112" ht="22.5" customHeight="1">
      <c r="A112" s="2">
        <v>0.379</v>
      </c>
      <c r="B112" s="2">
        <v>0.075</v>
      </c>
      <c r="C112" s="2">
        <v>0.0</v>
      </c>
      <c r="D112" s="2">
        <v>-20.328</v>
      </c>
      <c r="E112" s="2">
        <v>1.0</v>
      </c>
      <c r="F112" s="2">
        <v>0.0408</v>
      </c>
      <c r="G112" s="2">
        <v>0.992</v>
      </c>
      <c r="H112" s="2">
        <v>0.913</v>
      </c>
      <c r="I112" s="2">
        <v>0.106</v>
      </c>
      <c r="J112" s="2">
        <v>0.0353</v>
      </c>
      <c r="K112" s="2">
        <v>68.232</v>
      </c>
      <c r="L112" s="2">
        <v>241187.0</v>
      </c>
      <c r="M112" s="2">
        <v>3.0</v>
      </c>
      <c r="N112" s="2">
        <v>0.0</v>
      </c>
    </row>
    <row r="113" ht="22.5" customHeight="1">
      <c r="A113" s="2">
        <v>0.641</v>
      </c>
      <c r="B113" s="2">
        <v>0.673</v>
      </c>
      <c r="C113" s="2">
        <v>6.0</v>
      </c>
      <c r="D113" s="2">
        <v>-7.017</v>
      </c>
      <c r="E113" s="2">
        <v>0.0</v>
      </c>
      <c r="F113" s="2">
        <v>0.0857</v>
      </c>
      <c r="G113" s="2">
        <v>0.429</v>
      </c>
      <c r="H113" s="2">
        <v>0.0</v>
      </c>
      <c r="I113" s="2">
        <v>0.105</v>
      </c>
      <c r="J113" s="2">
        <v>0.785</v>
      </c>
      <c r="K113" s="2">
        <v>149.974</v>
      </c>
      <c r="L113" s="2">
        <v>192107.0</v>
      </c>
      <c r="M113" s="2">
        <v>4.0</v>
      </c>
      <c r="N113" s="2">
        <v>1.0</v>
      </c>
    </row>
    <row r="114" ht="22.5" customHeight="1">
      <c r="A114" s="2">
        <v>0.705</v>
      </c>
      <c r="B114" s="2">
        <v>0.97</v>
      </c>
      <c r="C114" s="2">
        <v>8.0</v>
      </c>
      <c r="D114" s="2">
        <v>-3.28</v>
      </c>
      <c r="E114" s="2">
        <v>1.0</v>
      </c>
      <c r="F114" s="2">
        <v>0.259</v>
      </c>
      <c r="G114" s="2">
        <v>0.241</v>
      </c>
      <c r="H114" s="2">
        <v>0.0</v>
      </c>
      <c r="I114" s="2">
        <v>0.289</v>
      </c>
      <c r="J114" s="2">
        <v>0.766</v>
      </c>
      <c r="K114" s="2">
        <v>99.97</v>
      </c>
      <c r="L114" s="2">
        <v>194138.0</v>
      </c>
      <c r="M114" s="2">
        <v>4.0</v>
      </c>
      <c r="N114" s="2">
        <v>1.0</v>
      </c>
    </row>
    <row r="115" ht="22.5" customHeight="1">
      <c r="A115" s="2">
        <v>0.28</v>
      </c>
      <c r="B115" s="2">
        <v>0.104</v>
      </c>
      <c r="C115" s="2">
        <v>2.0</v>
      </c>
      <c r="D115" s="2">
        <v>-19.802</v>
      </c>
      <c r="E115" s="2">
        <v>1.0</v>
      </c>
      <c r="F115" s="2">
        <v>0.0336</v>
      </c>
      <c r="G115" s="2">
        <v>0.935</v>
      </c>
      <c r="H115" s="2">
        <v>0.866</v>
      </c>
      <c r="I115" s="2">
        <v>0.362</v>
      </c>
      <c r="J115" s="2">
        <v>0.176</v>
      </c>
      <c r="K115" s="2">
        <v>92.628</v>
      </c>
      <c r="L115" s="2">
        <v>310000.0</v>
      </c>
      <c r="M115" s="2">
        <v>4.0</v>
      </c>
      <c r="N115" s="2">
        <v>0.0</v>
      </c>
    </row>
    <row r="116" ht="22.5" customHeight="1">
      <c r="A116" s="2">
        <v>0.256</v>
      </c>
      <c r="B116" s="2">
        <v>0.952</v>
      </c>
      <c r="C116" s="2">
        <v>7.0</v>
      </c>
      <c r="D116" s="2">
        <v>-8.631</v>
      </c>
      <c r="E116" s="2">
        <v>0.0</v>
      </c>
      <c r="F116" s="2">
        <v>0.103</v>
      </c>
      <c r="G116" s="5">
        <v>2.19E-5</v>
      </c>
      <c r="H116" s="2">
        <v>0.587</v>
      </c>
      <c r="I116" s="2">
        <v>0.135</v>
      </c>
      <c r="J116" s="2">
        <v>0.0724</v>
      </c>
      <c r="K116" s="2">
        <v>144.481</v>
      </c>
      <c r="L116" s="2">
        <v>206120.0</v>
      </c>
      <c r="M116" s="2">
        <v>4.0</v>
      </c>
      <c r="N116" s="2">
        <v>0.0</v>
      </c>
    </row>
    <row r="117" ht="22.5" customHeight="1">
      <c r="A117" s="2">
        <v>0.245</v>
      </c>
      <c r="B117" s="2">
        <v>0.915</v>
      </c>
      <c r="C117" s="2">
        <v>1.0</v>
      </c>
      <c r="D117" s="2">
        <v>-8.992</v>
      </c>
      <c r="E117" s="2">
        <v>1.0</v>
      </c>
      <c r="F117" s="2">
        <v>0.0718</v>
      </c>
      <c r="G117" s="5">
        <v>9.86E-5</v>
      </c>
      <c r="H117" s="2">
        <v>0.704</v>
      </c>
      <c r="I117" s="2">
        <v>0.633</v>
      </c>
      <c r="J117" s="2">
        <v>0.482</v>
      </c>
      <c r="K117" s="2">
        <v>101.017</v>
      </c>
      <c r="L117" s="2">
        <v>228733.0</v>
      </c>
      <c r="M117" s="2">
        <v>3.0</v>
      </c>
      <c r="N117" s="2">
        <v>0.0</v>
      </c>
    </row>
    <row r="118" ht="22.5" customHeight="1">
      <c r="A118" s="2">
        <v>0.72</v>
      </c>
      <c r="B118" s="2">
        <v>0.828</v>
      </c>
      <c r="C118" s="2">
        <v>5.0</v>
      </c>
      <c r="D118" s="2">
        <v>-9.211</v>
      </c>
      <c r="E118" s="2">
        <v>1.0</v>
      </c>
      <c r="F118" s="2">
        <v>0.0462</v>
      </c>
      <c r="G118" s="2">
        <v>0.185</v>
      </c>
      <c r="H118" s="2">
        <v>0.429</v>
      </c>
      <c r="I118" s="2">
        <v>0.0839</v>
      </c>
      <c r="J118" s="2">
        <v>0.768</v>
      </c>
      <c r="K118" s="2">
        <v>110.071</v>
      </c>
      <c r="L118" s="2">
        <v>323347.0</v>
      </c>
      <c r="M118" s="2">
        <v>4.0</v>
      </c>
      <c r="N118" s="2">
        <v>0.0</v>
      </c>
    </row>
    <row r="119" ht="22.5" customHeight="1">
      <c r="A119" s="2">
        <v>0.592</v>
      </c>
      <c r="B119" s="2">
        <v>0.371</v>
      </c>
      <c r="C119" s="2">
        <v>9.0</v>
      </c>
      <c r="D119" s="2">
        <v>-9.965</v>
      </c>
      <c r="E119" s="2">
        <v>0.0</v>
      </c>
      <c r="F119" s="2">
        <v>0.0437</v>
      </c>
      <c r="G119" s="2">
        <v>0.4</v>
      </c>
      <c r="H119" s="2">
        <v>3.67E-4</v>
      </c>
      <c r="I119" s="2">
        <v>0.0953</v>
      </c>
      <c r="J119" s="2">
        <v>0.197</v>
      </c>
      <c r="K119" s="2">
        <v>127.966</v>
      </c>
      <c r="L119" s="2">
        <v>316546.0</v>
      </c>
      <c r="M119" s="2">
        <v>4.0</v>
      </c>
      <c r="N119" s="2">
        <v>0.0</v>
      </c>
    </row>
    <row r="120" ht="22.5" customHeight="1">
      <c r="A120" s="2">
        <v>0.878</v>
      </c>
      <c r="B120" s="2">
        <v>0.6</v>
      </c>
      <c r="C120" s="2">
        <v>6.0</v>
      </c>
      <c r="D120" s="2">
        <v>-7.856</v>
      </c>
      <c r="E120" s="2">
        <v>1.0</v>
      </c>
      <c r="F120" s="2">
        <v>0.142</v>
      </c>
      <c r="G120" s="2">
        <v>0.405</v>
      </c>
      <c r="H120" s="2">
        <v>0.0</v>
      </c>
      <c r="I120" s="2">
        <v>0.119</v>
      </c>
      <c r="J120" s="2">
        <v>0.539</v>
      </c>
      <c r="K120" s="2">
        <v>75.006</v>
      </c>
      <c r="L120" s="2">
        <v>183891.0</v>
      </c>
      <c r="M120" s="2">
        <v>4.0</v>
      </c>
      <c r="N120" s="2">
        <v>1.0</v>
      </c>
    </row>
    <row r="121" ht="22.5" customHeight="1">
      <c r="A121" s="2">
        <v>0.828</v>
      </c>
      <c r="B121" s="2">
        <v>0.748</v>
      </c>
      <c r="C121" s="2">
        <v>1.0</v>
      </c>
      <c r="D121" s="2">
        <v>-8.348</v>
      </c>
      <c r="E121" s="2">
        <v>0.0</v>
      </c>
      <c r="F121" s="2">
        <v>0.507</v>
      </c>
      <c r="G121" s="2">
        <v>0.639</v>
      </c>
      <c r="H121" s="2">
        <v>0.0</v>
      </c>
      <c r="I121" s="2">
        <v>0.34</v>
      </c>
      <c r="J121" s="2">
        <v>0.58</v>
      </c>
      <c r="K121" s="2">
        <v>129.433</v>
      </c>
      <c r="L121" s="2">
        <v>203048.0</v>
      </c>
      <c r="M121" s="2">
        <v>4.0</v>
      </c>
      <c r="N121" s="2">
        <v>1.0</v>
      </c>
    </row>
    <row r="122" ht="22.5" customHeight="1">
      <c r="A122" s="2">
        <v>0.671</v>
      </c>
      <c r="B122" s="2">
        <v>0.584</v>
      </c>
      <c r="C122" s="2">
        <v>9.0</v>
      </c>
      <c r="D122" s="2">
        <v>-9.959</v>
      </c>
      <c r="E122" s="2">
        <v>0.0</v>
      </c>
      <c r="F122" s="2">
        <v>0.54</v>
      </c>
      <c r="G122" s="2">
        <v>0.65</v>
      </c>
      <c r="H122" s="2">
        <v>0.0</v>
      </c>
      <c r="I122" s="2">
        <v>0.128</v>
      </c>
      <c r="J122" s="2">
        <v>0.366</v>
      </c>
      <c r="K122" s="2">
        <v>119.303</v>
      </c>
      <c r="L122" s="2">
        <v>209440.0</v>
      </c>
      <c r="M122" s="2">
        <v>5.0</v>
      </c>
      <c r="N122" s="2">
        <v>1.0</v>
      </c>
    </row>
    <row r="123" ht="22.5" customHeight="1">
      <c r="A123" s="2">
        <v>0.697</v>
      </c>
      <c r="B123" s="2">
        <v>0.809</v>
      </c>
      <c r="C123" s="2">
        <v>9.0</v>
      </c>
      <c r="D123" s="2">
        <v>-8.197</v>
      </c>
      <c r="E123" s="2">
        <v>1.0</v>
      </c>
      <c r="F123" s="2">
        <v>0.0302</v>
      </c>
      <c r="G123" s="2">
        <v>0.114</v>
      </c>
      <c r="H123" s="2">
        <v>5.21E-4</v>
      </c>
      <c r="I123" s="2">
        <v>0.183</v>
      </c>
      <c r="J123" s="2">
        <v>0.98</v>
      </c>
      <c r="K123" s="2">
        <v>125.941</v>
      </c>
      <c r="L123" s="2">
        <v>214827.0</v>
      </c>
      <c r="M123" s="2">
        <v>4.0</v>
      </c>
      <c r="N123" s="2">
        <v>0.0</v>
      </c>
    </row>
    <row r="124" ht="22.5" customHeight="1">
      <c r="A124" s="2">
        <v>0.784</v>
      </c>
      <c r="B124" s="2">
        <v>0.902</v>
      </c>
      <c r="C124" s="2">
        <v>11.0</v>
      </c>
      <c r="D124" s="2">
        <v>-5.308</v>
      </c>
      <c r="E124" s="2">
        <v>0.0</v>
      </c>
      <c r="F124" s="2">
        <v>0.0434</v>
      </c>
      <c r="G124" s="2">
        <v>0.00308</v>
      </c>
      <c r="H124" s="2">
        <v>2.33E-4</v>
      </c>
      <c r="I124" s="2">
        <v>0.13</v>
      </c>
      <c r="J124" s="2">
        <v>0.271</v>
      </c>
      <c r="K124" s="2">
        <v>100.007</v>
      </c>
      <c r="L124" s="2">
        <v>186041.0</v>
      </c>
      <c r="M124" s="2">
        <v>4.0</v>
      </c>
      <c r="N124" s="2">
        <v>1.0</v>
      </c>
    </row>
    <row r="125" ht="22.5" customHeight="1">
      <c r="A125" s="2">
        <v>0.847</v>
      </c>
      <c r="B125" s="2">
        <v>0.845</v>
      </c>
      <c r="C125" s="2">
        <v>1.0</v>
      </c>
      <c r="D125" s="2">
        <v>-2.901</v>
      </c>
      <c r="E125" s="2">
        <v>0.0</v>
      </c>
      <c r="F125" s="2">
        <v>0.305</v>
      </c>
      <c r="G125" s="2">
        <v>0.279</v>
      </c>
      <c r="H125" s="2">
        <v>0.0</v>
      </c>
      <c r="I125" s="2">
        <v>0.052</v>
      </c>
      <c r="J125" s="2">
        <v>0.633</v>
      </c>
      <c r="K125" s="2">
        <v>142.012</v>
      </c>
      <c r="L125" s="2">
        <v>190986.0</v>
      </c>
      <c r="M125" s="2">
        <v>4.0</v>
      </c>
      <c r="N125" s="2">
        <v>1.0</v>
      </c>
    </row>
    <row r="126" ht="22.5" customHeight="1">
      <c r="A126" s="2">
        <v>0.915</v>
      </c>
      <c r="B126" s="2">
        <v>0.551</v>
      </c>
      <c r="C126" s="2">
        <v>8.0</v>
      </c>
      <c r="D126" s="2">
        <v>-10.49</v>
      </c>
      <c r="E126" s="2">
        <v>1.0</v>
      </c>
      <c r="F126" s="2">
        <v>0.343</v>
      </c>
      <c r="G126" s="2">
        <v>0.0342</v>
      </c>
      <c r="H126" s="2">
        <v>0.0</v>
      </c>
      <c r="I126" s="2">
        <v>0.102</v>
      </c>
      <c r="J126" s="2">
        <v>0.753</v>
      </c>
      <c r="K126" s="2">
        <v>124.906</v>
      </c>
      <c r="L126" s="2">
        <v>88320.0</v>
      </c>
      <c r="M126" s="2">
        <v>4.0</v>
      </c>
      <c r="N126" s="2">
        <v>1.0</v>
      </c>
    </row>
    <row r="127" ht="22.5" customHeight="1">
      <c r="A127" s="2">
        <v>0.696</v>
      </c>
      <c r="B127" s="2">
        <v>0.805</v>
      </c>
      <c r="C127" s="2">
        <v>1.0</v>
      </c>
      <c r="D127" s="2">
        <v>-7.082</v>
      </c>
      <c r="E127" s="2">
        <v>1.0</v>
      </c>
      <c r="F127" s="2">
        <v>0.253</v>
      </c>
      <c r="G127" s="2">
        <v>0.203</v>
      </c>
      <c r="H127" s="5">
        <v>7.6E-6</v>
      </c>
      <c r="I127" s="2">
        <v>0.227</v>
      </c>
      <c r="J127" s="2">
        <v>0.283</v>
      </c>
      <c r="K127" s="2">
        <v>131.716</v>
      </c>
      <c r="L127" s="2">
        <v>149422.0</v>
      </c>
      <c r="M127" s="2">
        <v>4.0</v>
      </c>
      <c r="N127" s="2">
        <v>1.0</v>
      </c>
    </row>
    <row r="128" ht="22.5" customHeight="1">
      <c r="A128" s="2">
        <v>0.25</v>
      </c>
      <c r="B128" s="2">
        <v>0.982</v>
      </c>
      <c r="C128" s="2">
        <v>1.0</v>
      </c>
      <c r="D128" s="2">
        <v>-7.911</v>
      </c>
      <c r="E128" s="2">
        <v>0.0</v>
      </c>
      <c r="F128" s="2">
        <v>0.145</v>
      </c>
      <c r="G128" s="5">
        <v>5.81E-5</v>
      </c>
      <c r="H128" s="2">
        <v>1.51E-4</v>
      </c>
      <c r="I128" s="2">
        <v>0.171</v>
      </c>
      <c r="J128" s="2">
        <v>0.166</v>
      </c>
      <c r="K128" s="2">
        <v>136.707</v>
      </c>
      <c r="L128" s="2">
        <v>126333.0</v>
      </c>
      <c r="M128" s="2">
        <v>4.0</v>
      </c>
      <c r="N128" s="2">
        <v>0.0</v>
      </c>
    </row>
    <row r="129" ht="22.5" customHeight="1">
      <c r="A129" s="2">
        <v>0.648</v>
      </c>
      <c r="B129" s="2">
        <v>0.465</v>
      </c>
      <c r="C129" s="2">
        <v>6.0</v>
      </c>
      <c r="D129" s="2">
        <v>-9.716</v>
      </c>
      <c r="E129" s="2">
        <v>0.0</v>
      </c>
      <c r="F129" s="2">
        <v>0.171</v>
      </c>
      <c r="G129" s="2">
        <v>0.772</v>
      </c>
      <c r="H129" s="5">
        <v>1.98E-6</v>
      </c>
      <c r="I129" s="2">
        <v>0.287</v>
      </c>
      <c r="J129" s="2">
        <v>0.407</v>
      </c>
      <c r="K129" s="2">
        <v>103.025</v>
      </c>
      <c r="L129" s="2">
        <v>256281.0</v>
      </c>
      <c r="M129" s="2">
        <v>4.0</v>
      </c>
      <c r="N129" s="2">
        <v>0.0</v>
      </c>
    </row>
    <row r="130" ht="22.5" customHeight="1">
      <c r="A130" s="2">
        <v>0.609</v>
      </c>
      <c r="B130" s="2">
        <v>0.517</v>
      </c>
      <c r="C130" s="2">
        <v>6.0</v>
      </c>
      <c r="D130" s="2">
        <v>-7.557</v>
      </c>
      <c r="E130" s="2">
        <v>0.0</v>
      </c>
      <c r="F130" s="2">
        <v>0.0451</v>
      </c>
      <c r="G130" s="2">
        <v>0.231</v>
      </c>
      <c r="H130" s="5">
        <v>3.62E-5</v>
      </c>
      <c r="I130" s="2">
        <v>0.0777</v>
      </c>
      <c r="J130" s="2">
        <v>0.0761</v>
      </c>
      <c r="K130" s="2">
        <v>120.914</v>
      </c>
      <c r="L130" s="2">
        <v>285627.0</v>
      </c>
      <c r="M130" s="2">
        <v>4.0</v>
      </c>
      <c r="N130" s="2">
        <v>0.0</v>
      </c>
    </row>
    <row r="131" ht="22.5" customHeight="1">
      <c r="A131" s="2">
        <v>0.213</v>
      </c>
      <c r="B131" s="2">
        <v>0.0656</v>
      </c>
      <c r="C131" s="2">
        <v>7.0</v>
      </c>
      <c r="D131" s="2">
        <v>-24.81</v>
      </c>
      <c r="E131" s="2">
        <v>1.0</v>
      </c>
      <c r="F131" s="2">
        <v>0.0467</v>
      </c>
      <c r="G131" s="2">
        <v>0.992</v>
      </c>
      <c r="H131" s="2">
        <v>0.969</v>
      </c>
      <c r="I131" s="2">
        <v>0.0699</v>
      </c>
      <c r="J131" s="2">
        <v>0.0384</v>
      </c>
      <c r="K131" s="2">
        <v>65.023</v>
      </c>
      <c r="L131" s="2">
        <v>150147.0</v>
      </c>
      <c r="M131" s="2">
        <v>3.0</v>
      </c>
      <c r="N131" s="2">
        <v>0.0</v>
      </c>
    </row>
    <row r="132" ht="22.5" customHeight="1">
      <c r="A132" s="2">
        <v>0.909</v>
      </c>
      <c r="B132" s="2">
        <v>0.582</v>
      </c>
      <c r="C132" s="2">
        <v>7.0</v>
      </c>
      <c r="D132" s="2">
        <v>-5.357</v>
      </c>
      <c r="E132" s="2">
        <v>1.0</v>
      </c>
      <c r="F132" s="2">
        <v>0.0665</v>
      </c>
      <c r="G132" s="2">
        <v>0.0696</v>
      </c>
      <c r="H132" s="5">
        <v>4.78E-5</v>
      </c>
      <c r="I132" s="2">
        <v>0.0984</v>
      </c>
      <c r="J132" s="2">
        <v>0.844</v>
      </c>
      <c r="K132" s="2">
        <v>126.063</v>
      </c>
      <c r="L132" s="2">
        <v>249598.0</v>
      </c>
      <c r="M132" s="2">
        <v>4.0</v>
      </c>
      <c r="N132" s="2">
        <v>0.0</v>
      </c>
    </row>
    <row r="133" ht="22.5" customHeight="1">
      <c r="A133" s="2">
        <v>0.777</v>
      </c>
      <c r="B133" s="2">
        <v>0.698</v>
      </c>
      <c r="C133" s="2">
        <v>6.0</v>
      </c>
      <c r="D133" s="2">
        <v>-7.706</v>
      </c>
      <c r="E133" s="2">
        <v>0.0</v>
      </c>
      <c r="F133" s="2">
        <v>0.0704</v>
      </c>
      <c r="G133" s="2">
        <v>0.293</v>
      </c>
      <c r="H133" s="5">
        <v>2.32E-5</v>
      </c>
      <c r="I133" s="2">
        <v>0.0908</v>
      </c>
      <c r="J133" s="2">
        <v>0.119</v>
      </c>
      <c r="K133" s="2">
        <v>119.963</v>
      </c>
      <c r="L133" s="2">
        <v>247161.0</v>
      </c>
      <c r="M133" s="2">
        <v>4.0</v>
      </c>
      <c r="N133" s="2">
        <v>0.0</v>
      </c>
    </row>
    <row r="134" ht="22.5" customHeight="1">
      <c r="A134" s="2">
        <v>0.196</v>
      </c>
      <c r="B134" s="2">
        <v>0.983</v>
      </c>
      <c r="C134" s="2">
        <v>8.0</v>
      </c>
      <c r="D134" s="2">
        <v>-8.466</v>
      </c>
      <c r="E134" s="2">
        <v>0.0</v>
      </c>
      <c r="F134" s="2">
        <v>0.0818</v>
      </c>
      <c r="G134" s="5">
        <v>3.05E-6</v>
      </c>
      <c r="H134" s="2">
        <v>0.919</v>
      </c>
      <c r="I134" s="2">
        <v>0.0959</v>
      </c>
      <c r="J134" s="2">
        <v>0.316</v>
      </c>
      <c r="K134" s="2">
        <v>179.661</v>
      </c>
      <c r="L134" s="2">
        <v>183827.0</v>
      </c>
      <c r="M134" s="2">
        <v>4.0</v>
      </c>
      <c r="N134" s="2">
        <v>0.0</v>
      </c>
    </row>
    <row r="135" ht="22.5" customHeight="1">
      <c r="A135" s="2">
        <v>0.816</v>
      </c>
      <c r="B135" s="2">
        <v>0.667</v>
      </c>
      <c r="C135" s="2">
        <v>7.0</v>
      </c>
      <c r="D135" s="2">
        <v>-8.561</v>
      </c>
      <c r="E135" s="2">
        <v>1.0</v>
      </c>
      <c r="F135" s="2">
        <v>0.0758</v>
      </c>
      <c r="G135" s="2">
        <v>0.235</v>
      </c>
      <c r="H135" s="2">
        <v>0.0</v>
      </c>
      <c r="I135" s="2">
        <v>0.0599</v>
      </c>
      <c r="J135" s="2">
        <v>0.402</v>
      </c>
      <c r="K135" s="2">
        <v>134.985</v>
      </c>
      <c r="L135" s="2">
        <v>85333.0</v>
      </c>
      <c r="M135" s="2">
        <v>3.0</v>
      </c>
      <c r="N135" s="2">
        <v>1.0</v>
      </c>
    </row>
    <row r="136" ht="22.5" customHeight="1">
      <c r="A136" s="2">
        <v>0.808</v>
      </c>
      <c r="B136" s="2">
        <v>0.648</v>
      </c>
      <c r="C136" s="2">
        <v>4.0</v>
      </c>
      <c r="D136" s="2">
        <v>-5.49</v>
      </c>
      <c r="E136" s="2">
        <v>0.0</v>
      </c>
      <c r="F136" s="2">
        <v>0.273</v>
      </c>
      <c r="G136" s="2">
        <v>0.396</v>
      </c>
      <c r="H136" s="2">
        <v>0.0</v>
      </c>
      <c r="I136" s="2">
        <v>0.117</v>
      </c>
      <c r="J136" s="2">
        <v>0.658</v>
      </c>
      <c r="K136" s="2">
        <v>149.978</v>
      </c>
      <c r="L136" s="2">
        <v>180000.0</v>
      </c>
      <c r="M136" s="2">
        <v>4.0</v>
      </c>
      <c r="N136" s="2">
        <v>1.0</v>
      </c>
    </row>
    <row r="137" ht="22.5" customHeight="1">
      <c r="A137" s="2">
        <v>0.23</v>
      </c>
      <c r="B137" s="2">
        <v>0.0487</v>
      </c>
      <c r="C137" s="2">
        <v>5.0</v>
      </c>
      <c r="D137" s="2">
        <v>-27.675</v>
      </c>
      <c r="E137" s="2">
        <v>1.0</v>
      </c>
      <c r="F137" s="2">
        <v>0.0412</v>
      </c>
      <c r="G137" s="2">
        <v>0.986</v>
      </c>
      <c r="H137" s="2">
        <v>0.945</v>
      </c>
      <c r="I137" s="2">
        <v>0.0679</v>
      </c>
      <c r="J137" s="2">
        <v>0.101</v>
      </c>
      <c r="K137" s="2">
        <v>134.839</v>
      </c>
      <c r="L137" s="2">
        <v>203656.0</v>
      </c>
      <c r="M137" s="2">
        <v>5.0</v>
      </c>
      <c r="N137" s="2">
        <v>0.0</v>
      </c>
    </row>
    <row r="138" ht="22.5" customHeight="1">
      <c r="A138" s="2">
        <v>0.912</v>
      </c>
      <c r="B138" s="2">
        <v>0.577</v>
      </c>
      <c r="C138" s="2">
        <v>2.0</v>
      </c>
      <c r="D138" s="2">
        <v>-6.657</v>
      </c>
      <c r="E138" s="2">
        <v>1.0</v>
      </c>
      <c r="F138" s="2">
        <v>0.401</v>
      </c>
      <c r="G138" s="2">
        <v>0.106</v>
      </c>
      <c r="H138" s="2">
        <v>0.0</v>
      </c>
      <c r="I138" s="2">
        <v>0.0689</v>
      </c>
      <c r="J138" s="2">
        <v>0.848</v>
      </c>
      <c r="K138" s="2">
        <v>140.002</v>
      </c>
      <c r="L138" s="2">
        <v>166853.0</v>
      </c>
      <c r="M138" s="2">
        <v>4.0</v>
      </c>
      <c r="N138" s="2">
        <v>1.0</v>
      </c>
    </row>
    <row r="139" ht="22.5" customHeight="1">
      <c r="A139" s="2">
        <v>0.456</v>
      </c>
      <c r="B139" s="2">
        <v>0.456</v>
      </c>
      <c r="C139" s="2">
        <v>11.0</v>
      </c>
      <c r="D139" s="2">
        <v>-16.055</v>
      </c>
      <c r="E139" s="2">
        <v>0.0</v>
      </c>
      <c r="F139" s="2">
        <v>0.0535</v>
      </c>
      <c r="G139" s="2">
        <v>0.973</v>
      </c>
      <c r="H139" s="2">
        <v>0.353</v>
      </c>
      <c r="I139" s="2">
        <v>0.186</v>
      </c>
      <c r="J139" s="2">
        <v>0.974</v>
      </c>
      <c r="K139" s="2">
        <v>144.489</v>
      </c>
      <c r="L139" s="2">
        <v>210680.0</v>
      </c>
      <c r="M139" s="2">
        <v>3.0</v>
      </c>
      <c r="N139" s="2">
        <v>0.0</v>
      </c>
    </row>
    <row r="140" ht="22.5" customHeight="1">
      <c r="A140" s="2">
        <v>0.334</v>
      </c>
      <c r="B140" s="2">
        <v>0.00732</v>
      </c>
      <c r="C140" s="2">
        <v>4.0</v>
      </c>
      <c r="D140" s="2">
        <v>-30.908</v>
      </c>
      <c r="E140" s="2">
        <v>0.0</v>
      </c>
      <c r="F140" s="2">
        <v>0.0355</v>
      </c>
      <c r="G140" s="2">
        <v>0.991</v>
      </c>
      <c r="H140" s="2">
        <v>0.952</v>
      </c>
      <c r="I140" s="2">
        <v>0.0968</v>
      </c>
      <c r="J140" s="2">
        <v>0.0964</v>
      </c>
      <c r="K140" s="2">
        <v>60.171</v>
      </c>
      <c r="L140" s="2">
        <v>241987.0</v>
      </c>
      <c r="M140" s="2">
        <v>4.0</v>
      </c>
      <c r="N140" s="2">
        <v>0.0</v>
      </c>
    </row>
    <row r="141" ht="22.5" customHeight="1">
      <c r="A141" s="2">
        <v>0.827</v>
      </c>
      <c r="B141" s="2">
        <v>0.703</v>
      </c>
      <c r="C141" s="2">
        <v>2.0</v>
      </c>
      <c r="D141" s="2">
        <v>-4.623</v>
      </c>
      <c r="E141" s="2">
        <v>1.0</v>
      </c>
      <c r="F141" s="2">
        <v>0.112</v>
      </c>
      <c r="G141" s="2">
        <v>0.0617</v>
      </c>
      <c r="H141" s="2">
        <v>0.0</v>
      </c>
      <c r="I141" s="2">
        <v>0.0484</v>
      </c>
      <c r="J141" s="2">
        <v>0.586</v>
      </c>
      <c r="K141" s="2">
        <v>137.043</v>
      </c>
      <c r="L141" s="2">
        <v>214456.0</v>
      </c>
      <c r="M141" s="2">
        <v>4.0</v>
      </c>
      <c r="N141" s="2">
        <v>1.0</v>
      </c>
    </row>
    <row r="142" ht="22.5" customHeight="1">
      <c r="A142" s="2">
        <v>0.699</v>
      </c>
      <c r="B142" s="2">
        <v>0.61</v>
      </c>
      <c r="C142" s="2">
        <v>9.0</v>
      </c>
      <c r="D142" s="2">
        <v>-6.9</v>
      </c>
      <c r="E142" s="2">
        <v>1.0</v>
      </c>
      <c r="F142" s="2">
        <v>0.231</v>
      </c>
      <c r="G142" s="2">
        <v>0.00153</v>
      </c>
      <c r="H142" s="5">
        <v>1.75E-6</v>
      </c>
      <c r="I142" s="2">
        <v>0.369</v>
      </c>
      <c r="J142" s="2">
        <v>0.577</v>
      </c>
      <c r="K142" s="2">
        <v>170.103</v>
      </c>
      <c r="L142" s="2">
        <v>204000.0</v>
      </c>
      <c r="M142" s="2">
        <v>4.0</v>
      </c>
      <c r="N142" s="2">
        <v>1.0</v>
      </c>
    </row>
    <row r="143" ht="22.5" customHeight="1">
      <c r="A143" s="2">
        <v>0.751</v>
      </c>
      <c r="B143" s="2">
        <v>0.72</v>
      </c>
      <c r="C143" s="2">
        <v>6.0</v>
      </c>
      <c r="D143" s="2">
        <v>-4.86</v>
      </c>
      <c r="E143" s="2">
        <v>1.0</v>
      </c>
      <c r="F143" s="2">
        <v>0.304</v>
      </c>
      <c r="G143" s="2">
        <v>0.295</v>
      </c>
      <c r="H143" s="2">
        <v>0.0</v>
      </c>
      <c r="I143" s="2">
        <v>0.337</v>
      </c>
      <c r="J143" s="2">
        <v>0.761</v>
      </c>
      <c r="K143" s="2">
        <v>140.041</v>
      </c>
      <c r="L143" s="2">
        <v>197674.0</v>
      </c>
      <c r="M143" s="2">
        <v>4.0</v>
      </c>
      <c r="N143" s="2">
        <v>1.0</v>
      </c>
    </row>
    <row r="144" ht="22.5" customHeight="1">
      <c r="A144" s="2">
        <v>0.392</v>
      </c>
      <c r="B144" s="2">
        <v>0.0536</v>
      </c>
      <c r="C144" s="2">
        <v>4.0</v>
      </c>
      <c r="D144" s="2">
        <v>-23.399</v>
      </c>
      <c r="E144" s="2">
        <v>1.0</v>
      </c>
      <c r="F144" s="2">
        <v>0.0571</v>
      </c>
      <c r="G144" s="2">
        <v>0.995</v>
      </c>
      <c r="H144" s="2">
        <v>0.867</v>
      </c>
      <c r="I144" s="2">
        <v>0.0808</v>
      </c>
      <c r="J144" s="2">
        <v>0.0417</v>
      </c>
      <c r="K144" s="2">
        <v>71.286</v>
      </c>
      <c r="L144" s="2">
        <v>234467.0</v>
      </c>
      <c r="M144" s="2">
        <v>4.0</v>
      </c>
      <c r="N144" s="2">
        <v>0.0</v>
      </c>
    </row>
    <row r="145" ht="22.5" customHeight="1">
      <c r="A145" s="2">
        <v>0.461</v>
      </c>
      <c r="B145" s="2">
        <v>0.918</v>
      </c>
      <c r="C145" s="2">
        <v>4.0</v>
      </c>
      <c r="D145" s="2">
        <v>-8.507</v>
      </c>
      <c r="E145" s="2">
        <v>1.0</v>
      </c>
      <c r="F145" s="2">
        <v>0.0959</v>
      </c>
      <c r="G145" s="2">
        <v>0.405</v>
      </c>
      <c r="H145" s="2">
        <v>3.3E-4</v>
      </c>
      <c r="I145" s="2">
        <v>0.126</v>
      </c>
      <c r="J145" s="2">
        <v>0.802</v>
      </c>
      <c r="K145" s="2">
        <v>172.435</v>
      </c>
      <c r="L145" s="2">
        <v>249960.0</v>
      </c>
      <c r="M145" s="2">
        <v>4.0</v>
      </c>
      <c r="N145" s="2">
        <v>0.0</v>
      </c>
    </row>
    <row r="146" ht="22.5" customHeight="1">
      <c r="A146" s="2">
        <v>0.13</v>
      </c>
      <c r="B146" s="2">
        <v>0.947</v>
      </c>
      <c r="C146" s="2">
        <v>8.0</v>
      </c>
      <c r="D146" s="2">
        <v>-5.888</v>
      </c>
      <c r="E146" s="2">
        <v>1.0</v>
      </c>
      <c r="F146" s="2">
        <v>0.095</v>
      </c>
      <c r="G146" s="5">
        <v>2.45E-5</v>
      </c>
      <c r="H146" s="2">
        <v>0.368</v>
      </c>
      <c r="I146" s="2">
        <v>0.0453</v>
      </c>
      <c r="J146" s="2">
        <v>0.334</v>
      </c>
      <c r="K146" s="2">
        <v>60.631</v>
      </c>
      <c r="L146" s="2">
        <v>272995.0</v>
      </c>
      <c r="M146" s="2">
        <v>4.0</v>
      </c>
      <c r="N146" s="2">
        <v>0.0</v>
      </c>
    </row>
    <row r="147" ht="22.5" customHeight="1">
      <c r="A147" s="2">
        <v>0.651</v>
      </c>
      <c r="B147" s="2">
        <v>0.639</v>
      </c>
      <c r="C147" s="2">
        <v>3.0</v>
      </c>
      <c r="D147" s="2">
        <v>-7.836</v>
      </c>
      <c r="E147" s="2">
        <v>0.0</v>
      </c>
      <c r="F147" s="2">
        <v>0.0583</v>
      </c>
      <c r="G147" s="2">
        <v>0.019</v>
      </c>
      <c r="H147" s="2">
        <v>0.0</v>
      </c>
      <c r="I147" s="2">
        <v>0.0522</v>
      </c>
      <c r="J147" s="2">
        <v>0.758</v>
      </c>
      <c r="K147" s="2">
        <v>157.738</v>
      </c>
      <c r="L147" s="2">
        <v>247440.0</v>
      </c>
      <c r="M147" s="2">
        <v>4.0</v>
      </c>
      <c r="N147" s="2">
        <v>0.0</v>
      </c>
    </row>
    <row r="148" ht="22.5" customHeight="1">
      <c r="A148" s="2">
        <v>0.266</v>
      </c>
      <c r="B148" s="2">
        <v>0.986</v>
      </c>
      <c r="C148" s="2">
        <v>8.0</v>
      </c>
      <c r="D148" s="2">
        <v>-8.346</v>
      </c>
      <c r="E148" s="2">
        <v>0.0</v>
      </c>
      <c r="F148" s="2">
        <v>0.166</v>
      </c>
      <c r="G148" s="2">
        <v>3.86E-4</v>
      </c>
      <c r="H148" s="2">
        <v>0.747</v>
      </c>
      <c r="I148" s="2">
        <v>0.43</v>
      </c>
      <c r="J148" s="2">
        <v>0.302</v>
      </c>
      <c r="K148" s="2">
        <v>86.179</v>
      </c>
      <c r="L148" s="2">
        <v>245773.0</v>
      </c>
      <c r="M148" s="2">
        <v>4.0</v>
      </c>
      <c r="N148" s="2">
        <v>0.0</v>
      </c>
    </row>
    <row r="149" ht="22.5" customHeight="1">
      <c r="A149" s="2">
        <v>0.483</v>
      </c>
      <c r="B149" s="2">
        <v>0.941</v>
      </c>
      <c r="C149" s="2">
        <v>2.0</v>
      </c>
      <c r="D149" s="2">
        <v>-3.598</v>
      </c>
      <c r="E149" s="2">
        <v>0.0</v>
      </c>
      <c r="F149" s="2">
        <v>0.0575</v>
      </c>
      <c r="G149" s="2">
        <v>5.26E-4</v>
      </c>
      <c r="H149" s="5">
        <v>3.5E-6</v>
      </c>
      <c r="I149" s="2">
        <v>0.31</v>
      </c>
      <c r="J149" s="2">
        <v>0.503</v>
      </c>
      <c r="K149" s="2">
        <v>156.033</v>
      </c>
      <c r="L149" s="2">
        <v>232067.0</v>
      </c>
      <c r="M149" s="2">
        <v>4.0</v>
      </c>
      <c r="N149" s="2">
        <v>1.0</v>
      </c>
    </row>
    <row r="150" ht="22.5" customHeight="1">
      <c r="A150" s="2">
        <v>0.726</v>
      </c>
      <c r="B150" s="2">
        <v>0.715</v>
      </c>
      <c r="C150" s="2">
        <v>5.0</v>
      </c>
      <c r="D150" s="2">
        <v>-4.261</v>
      </c>
      <c r="E150" s="2">
        <v>0.0</v>
      </c>
      <c r="F150" s="2">
        <v>0.0662</v>
      </c>
      <c r="G150" s="2">
        <v>0.00108</v>
      </c>
      <c r="H150" s="5">
        <v>4.57E-5</v>
      </c>
      <c r="I150" s="2">
        <v>0.182</v>
      </c>
      <c r="J150" s="2">
        <v>0.767</v>
      </c>
      <c r="K150" s="2">
        <v>140.061</v>
      </c>
      <c r="L150" s="2">
        <v>183428.0</v>
      </c>
      <c r="M150" s="2">
        <v>4.0</v>
      </c>
      <c r="N150" s="2">
        <v>1.0</v>
      </c>
    </row>
    <row r="151" ht="22.5" customHeight="1">
      <c r="A151" s="2">
        <v>0.829</v>
      </c>
      <c r="B151" s="2">
        <v>0.708</v>
      </c>
      <c r="C151" s="2">
        <v>10.0</v>
      </c>
      <c r="D151" s="2">
        <v>-5.05</v>
      </c>
      <c r="E151" s="2">
        <v>1.0</v>
      </c>
      <c r="F151" s="2">
        <v>0.102</v>
      </c>
      <c r="G151" s="2">
        <v>0.329</v>
      </c>
      <c r="H151" s="2">
        <v>0.0</v>
      </c>
      <c r="I151" s="2">
        <v>0.093</v>
      </c>
      <c r="J151" s="2">
        <v>0.723</v>
      </c>
      <c r="K151" s="2">
        <v>139.961</v>
      </c>
      <c r="L151" s="2">
        <v>203813.0</v>
      </c>
      <c r="M151" s="2">
        <v>4.0</v>
      </c>
      <c r="N151" s="2">
        <v>1.0</v>
      </c>
    </row>
    <row r="152" ht="22.5" customHeight="1">
      <c r="A152" s="2">
        <v>0.75</v>
      </c>
      <c r="B152" s="2">
        <v>0.758</v>
      </c>
      <c r="C152" s="2">
        <v>6.0</v>
      </c>
      <c r="D152" s="2">
        <v>-7.112</v>
      </c>
      <c r="E152" s="2">
        <v>0.0</v>
      </c>
      <c r="F152" s="2">
        <v>0.261</v>
      </c>
      <c r="G152" s="2">
        <v>0.318</v>
      </c>
      <c r="H152" s="2">
        <v>0.0</v>
      </c>
      <c r="I152" s="2">
        <v>0.156</v>
      </c>
      <c r="J152" s="2">
        <v>0.538</v>
      </c>
      <c r="K152" s="2">
        <v>131.001</v>
      </c>
      <c r="L152" s="2">
        <v>207907.0</v>
      </c>
      <c r="M152" s="2">
        <v>4.0</v>
      </c>
      <c r="N152" s="2">
        <v>1.0</v>
      </c>
    </row>
    <row r="153" ht="22.5" customHeight="1">
      <c r="A153" s="2">
        <v>0.734</v>
      </c>
      <c r="B153" s="2">
        <v>0.425</v>
      </c>
      <c r="C153" s="2">
        <v>0.0</v>
      </c>
      <c r="D153" s="2">
        <v>-9.773</v>
      </c>
      <c r="E153" s="2">
        <v>1.0</v>
      </c>
      <c r="F153" s="2">
        <v>0.0635</v>
      </c>
      <c r="G153" s="2">
        <v>0.131</v>
      </c>
      <c r="H153" s="5">
        <v>1.71E-5</v>
      </c>
      <c r="I153" s="2">
        <v>0.0726</v>
      </c>
      <c r="J153" s="2">
        <v>0.235</v>
      </c>
      <c r="K153" s="2">
        <v>114.969</v>
      </c>
      <c r="L153" s="2">
        <v>268347.0</v>
      </c>
      <c r="M153" s="2">
        <v>4.0</v>
      </c>
      <c r="N153" s="2">
        <v>0.0</v>
      </c>
    </row>
    <row r="154" ht="22.5" customHeight="1">
      <c r="A154" s="2">
        <v>0.798</v>
      </c>
      <c r="B154" s="2">
        <v>0.567</v>
      </c>
      <c r="C154" s="2">
        <v>7.0</v>
      </c>
      <c r="D154" s="2">
        <v>-6.61</v>
      </c>
      <c r="E154" s="2">
        <v>1.0</v>
      </c>
      <c r="F154" s="2">
        <v>0.416</v>
      </c>
      <c r="G154" s="2">
        <v>0.122</v>
      </c>
      <c r="H154" s="2">
        <v>0.0</v>
      </c>
      <c r="I154" s="2">
        <v>0.101</v>
      </c>
      <c r="J154" s="2">
        <v>0.659</v>
      </c>
      <c r="K154" s="2">
        <v>73.679</v>
      </c>
      <c r="L154" s="2">
        <v>94054.0</v>
      </c>
      <c r="M154" s="2">
        <v>4.0</v>
      </c>
      <c r="N154" s="2">
        <v>1.0</v>
      </c>
    </row>
    <row r="155" ht="22.5" customHeight="1">
      <c r="A155" s="2">
        <v>0.357</v>
      </c>
      <c r="B155" s="2">
        <v>0.98</v>
      </c>
      <c r="C155" s="2">
        <v>6.0</v>
      </c>
      <c r="D155" s="2">
        <v>-6.835</v>
      </c>
      <c r="E155" s="2">
        <v>1.0</v>
      </c>
      <c r="F155" s="2">
        <v>0.079</v>
      </c>
      <c r="G155" s="5">
        <v>5.22E-5</v>
      </c>
      <c r="H155" s="2">
        <v>0.843</v>
      </c>
      <c r="I155" s="2">
        <v>0.0768</v>
      </c>
      <c r="J155" s="2">
        <v>0.368</v>
      </c>
      <c r="K155" s="2">
        <v>96.969</v>
      </c>
      <c r="L155" s="2">
        <v>242760.0</v>
      </c>
      <c r="M155" s="2">
        <v>4.0</v>
      </c>
      <c r="N155" s="2">
        <v>0.0</v>
      </c>
    </row>
    <row r="156" ht="22.5" customHeight="1">
      <c r="A156" s="2">
        <v>0.688</v>
      </c>
      <c r="B156" s="2">
        <v>0.569</v>
      </c>
      <c r="C156" s="2">
        <v>10.0</v>
      </c>
      <c r="D156" s="2">
        <v>-7.007</v>
      </c>
      <c r="E156" s="2">
        <v>0.0</v>
      </c>
      <c r="F156" s="2">
        <v>0.0375</v>
      </c>
      <c r="G156" s="2">
        <v>0.392</v>
      </c>
      <c r="H156" s="2">
        <v>1.75E-4</v>
      </c>
      <c r="I156" s="2">
        <v>0.12</v>
      </c>
      <c r="J156" s="2">
        <v>0.359</v>
      </c>
      <c r="K156" s="2">
        <v>109.041</v>
      </c>
      <c r="L156" s="2">
        <v>252373.0</v>
      </c>
      <c r="M156" s="2">
        <v>4.0</v>
      </c>
      <c r="N156" s="2">
        <v>0.0</v>
      </c>
    </row>
    <row r="157" ht="22.5" customHeight="1">
      <c r="A157" s="2">
        <v>0.7</v>
      </c>
      <c r="B157" s="2">
        <v>0.719</v>
      </c>
      <c r="C157" s="2">
        <v>5.0</v>
      </c>
      <c r="D157" s="2">
        <v>-6.12</v>
      </c>
      <c r="E157" s="2">
        <v>1.0</v>
      </c>
      <c r="F157" s="2">
        <v>0.09</v>
      </c>
      <c r="G157" s="2">
        <v>0.725</v>
      </c>
      <c r="H157" s="2">
        <v>0.0</v>
      </c>
      <c r="I157" s="2">
        <v>0.116</v>
      </c>
      <c r="J157" s="2">
        <v>0.429</v>
      </c>
      <c r="K157" s="2">
        <v>143.971</v>
      </c>
      <c r="L157" s="2">
        <v>149013.0</v>
      </c>
      <c r="M157" s="2">
        <v>4.0</v>
      </c>
      <c r="N157" s="2">
        <v>1.0</v>
      </c>
    </row>
    <row r="158" ht="22.5" customHeight="1">
      <c r="A158" s="2">
        <v>0.883</v>
      </c>
      <c r="B158" s="2">
        <v>0.558</v>
      </c>
      <c r="C158" s="2">
        <v>1.0</v>
      </c>
      <c r="D158" s="2">
        <v>-6.382</v>
      </c>
      <c r="E158" s="2">
        <v>0.0</v>
      </c>
      <c r="F158" s="2">
        <v>0.208</v>
      </c>
      <c r="G158" s="2">
        <v>0.542</v>
      </c>
      <c r="H158" s="5">
        <v>1.85E-6</v>
      </c>
      <c r="I158" s="2">
        <v>0.0934</v>
      </c>
      <c r="J158" s="2">
        <v>0.537</v>
      </c>
      <c r="K158" s="2">
        <v>153.99</v>
      </c>
      <c r="L158" s="2">
        <v>204179.0</v>
      </c>
      <c r="M158" s="2">
        <v>4.0</v>
      </c>
      <c r="N158" s="2">
        <v>1.0</v>
      </c>
    </row>
    <row r="159" ht="22.5" customHeight="1">
      <c r="A159" s="2">
        <v>0.705</v>
      </c>
      <c r="B159" s="2">
        <v>0.847</v>
      </c>
      <c r="C159" s="2">
        <v>6.0</v>
      </c>
      <c r="D159" s="2">
        <v>-2.588</v>
      </c>
      <c r="E159" s="2">
        <v>1.0</v>
      </c>
      <c r="F159" s="2">
        <v>0.0361</v>
      </c>
      <c r="G159" s="2">
        <v>0.414</v>
      </c>
      <c r="H159" s="5">
        <v>3.21E-6</v>
      </c>
      <c r="I159" s="2">
        <v>0.406</v>
      </c>
      <c r="J159" s="2">
        <v>0.743</v>
      </c>
      <c r="K159" s="2">
        <v>120.527</v>
      </c>
      <c r="L159" s="2">
        <v>228120.0</v>
      </c>
      <c r="M159" s="2">
        <v>4.0</v>
      </c>
      <c r="N159" s="2">
        <v>0.0</v>
      </c>
    </row>
    <row r="160" ht="22.5" customHeight="1">
      <c r="A160" s="2">
        <v>0.368</v>
      </c>
      <c r="B160" s="2">
        <v>0.00363</v>
      </c>
      <c r="C160" s="2">
        <v>1.0</v>
      </c>
      <c r="D160" s="2">
        <v>-36.759</v>
      </c>
      <c r="E160" s="2">
        <v>1.0</v>
      </c>
      <c r="F160" s="2">
        <v>0.035</v>
      </c>
      <c r="G160" s="2">
        <v>0.993</v>
      </c>
      <c r="H160" s="2">
        <v>0.922</v>
      </c>
      <c r="I160" s="2">
        <v>0.137</v>
      </c>
      <c r="J160" s="2">
        <v>0.085</v>
      </c>
      <c r="K160" s="2">
        <v>69.363</v>
      </c>
      <c r="L160" s="2">
        <v>254000.0</v>
      </c>
      <c r="M160" s="2">
        <v>3.0</v>
      </c>
      <c r="N160" s="2">
        <v>0.0</v>
      </c>
    </row>
    <row r="161" ht="22.5" customHeight="1">
      <c r="A161" s="2">
        <v>0.191</v>
      </c>
      <c r="B161" s="2">
        <v>0.0582</v>
      </c>
      <c r="C161" s="2">
        <v>8.0</v>
      </c>
      <c r="D161" s="2">
        <v>-25.398</v>
      </c>
      <c r="E161" s="2">
        <v>1.0</v>
      </c>
      <c r="F161" s="2">
        <v>0.0578</v>
      </c>
      <c r="G161" s="2">
        <v>0.961</v>
      </c>
      <c r="H161" s="2">
        <v>0.89</v>
      </c>
      <c r="I161" s="2">
        <v>0.0941</v>
      </c>
      <c r="J161" s="2">
        <v>0.0454</v>
      </c>
      <c r="K161" s="2">
        <v>132.614</v>
      </c>
      <c r="L161" s="2">
        <v>357707.0</v>
      </c>
      <c r="M161" s="2">
        <v>1.0</v>
      </c>
      <c r="N161" s="2">
        <v>0.0</v>
      </c>
    </row>
    <row r="162" ht="22.5" customHeight="1">
      <c r="A162" s="2">
        <v>0.87</v>
      </c>
      <c r="B162" s="2">
        <v>0.565</v>
      </c>
      <c r="C162" s="2">
        <v>6.0</v>
      </c>
      <c r="D162" s="2">
        <v>-8.884</v>
      </c>
      <c r="E162" s="2">
        <v>0.0</v>
      </c>
      <c r="F162" s="2">
        <v>0.23</v>
      </c>
      <c r="G162" s="2">
        <v>0.641</v>
      </c>
      <c r="H162" s="2">
        <v>0.0</v>
      </c>
      <c r="I162" s="2">
        <v>0.0688</v>
      </c>
      <c r="J162" s="2">
        <v>0.619</v>
      </c>
      <c r="K162" s="2">
        <v>79.993</v>
      </c>
      <c r="L162" s="2">
        <v>171000.0</v>
      </c>
      <c r="M162" s="2">
        <v>4.0</v>
      </c>
      <c r="N162" s="2">
        <v>1.0</v>
      </c>
    </row>
    <row r="163" ht="22.5" customHeight="1">
      <c r="A163" s="2">
        <v>0.946</v>
      </c>
      <c r="B163" s="2">
        <v>0.848</v>
      </c>
      <c r="C163" s="2">
        <v>9.0</v>
      </c>
      <c r="D163" s="2">
        <v>-3.668</v>
      </c>
      <c r="E163" s="2">
        <v>1.0</v>
      </c>
      <c r="F163" s="2">
        <v>0.158</v>
      </c>
      <c r="G163" s="2">
        <v>0.513</v>
      </c>
      <c r="H163" s="2">
        <v>0.0</v>
      </c>
      <c r="I163" s="2">
        <v>0.112</v>
      </c>
      <c r="J163" s="2">
        <v>0.652</v>
      </c>
      <c r="K163" s="2">
        <v>120.026</v>
      </c>
      <c r="L163" s="2">
        <v>184000.0</v>
      </c>
      <c r="M163" s="2">
        <v>4.0</v>
      </c>
      <c r="N163" s="2">
        <v>1.0</v>
      </c>
    </row>
    <row r="164" ht="22.5" customHeight="1">
      <c r="A164" s="2">
        <v>0.853</v>
      </c>
      <c r="B164" s="2">
        <v>0.616</v>
      </c>
      <c r="C164" s="2">
        <v>6.0</v>
      </c>
      <c r="D164" s="2">
        <v>-8.239</v>
      </c>
      <c r="E164" s="2">
        <v>0.0</v>
      </c>
      <c r="F164" s="2">
        <v>0.264</v>
      </c>
      <c r="G164" s="2">
        <v>0.0104</v>
      </c>
      <c r="H164" s="2">
        <v>0.0</v>
      </c>
      <c r="I164" s="2">
        <v>0.0644</v>
      </c>
      <c r="J164" s="2">
        <v>0.691</v>
      </c>
      <c r="K164" s="2">
        <v>125.059</v>
      </c>
      <c r="L164" s="2">
        <v>130560.0</v>
      </c>
      <c r="M164" s="2">
        <v>4.0</v>
      </c>
      <c r="N164" s="2">
        <v>1.0</v>
      </c>
    </row>
    <row r="165" ht="22.5" customHeight="1">
      <c r="A165" s="2">
        <v>0.452</v>
      </c>
      <c r="B165" s="2">
        <v>0.962</v>
      </c>
      <c r="C165" s="2">
        <v>11.0</v>
      </c>
      <c r="D165" s="2">
        <v>-3.063</v>
      </c>
      <c r="E165" s="2">
        <v>0.0</v>
      </c>
      <c r="F165" s="2">
        <v>0.0831</v>
      </c>
      <c r="G165" s="2">
        <v>0.00901</v>
      </c>
      <c r="H165" s="2">
        <v>0.0</v>
      </c>
      <c r="I165" s="2">
        <v>0.065</v>
      </c>
      <c r="J165" s="2">
        <v>0.566</v>
      </c>
      <c r="K165" s="2">
        <v>164.032</v>
      </c>
      <c r="L165" s="2">
        <v>208827.0</v>
      </c>
      <c r="M165" s="2">
        <v>4.0</v>
      </c>
      <c r="N165" s="2">
        <v>1.0</v>
      </c>
    </row>
    <row r="166" ht="22.5" customHeight="1">
      <c r="A166" s="2">
        <v>0.889</v>
      </c>
      <c r="B166" s="2">
        <v>0.646</v>
      </c>
      <c r="C166" s="2">
        <v>7.0</v>
      </c>
      <c r="D166" s="2">
        <v>-6.366</v>
      </c>
      <c r="E166" s="2">
        <v>1.0</v>
      </c>
      <c r="F166" s="2">
        <v>0.0668</v>
      </c>
      <c r="G166" s="2">
        <v>0.195</v>
      </c>
      <c r="H166" s="5">
        <v>3.19E-5</v>
      </c>
      <c r="I166" s="2">
        <v>0.0502</v>
      </c>
      <c r="J166" s="2">
        <v>0.966</v>
      </c>
      <c r="K166" s="2">
        <v>110.842</v>
      </c>
      <c r="L166" s="2">
        <v>213427.0</v>
      </c>
      <c r="M166" s="2">
        <v>4.0</v>
      </c>
      <c r="N166" s="2">
        <v>0.0</v>
      </c>
    </row>
    <row r="167" ht="22.5" customHeight="1">
      <c r="A167" s="2">
        <v>0.72</v>
      </c>
      <c r="B167" s="2">
        <v>0.67</v>
      </c>
      <c r="C167" s="2">
        <v>7.0</v>
      </c>
      <c r="D167" s="2">
        <v>-8.39</v>
      </c>
      <c r="E167" s="2">
        <v>1.0</v>
      </c>
      <c r="F167" s="2">
        <v>0.167</v>
      </c>
      <c r="G167" s="2">
        <v>0.0857</v>
      </c>
      <c r="H167" s="2">
        <v>0.0</v>
      </c>
      <c r="I167" s="2">
        <v>0.101</v>
      </c>
      <c r="J167" s="2">
        <v>0.766</v>
      </c>
      <c r="K167" s="2">
        <v>151.124</v>
      </c>
      <c r="L167" s="2">
        <v>209801.0</v>
      </c>
      <c r="M167" s="2">
        <v>4.0</v>
      </c>
      <c r="N167" s="2">
        <v>1.0</v>
      </c>
    </row>
    <row r="168" ht="22.5" customHeight="1">
      <c r="A168" s="2">
        <v>0.792</v>
      </c>
      <c r="B168" s="2">
        <v>0.627</v>
      </c>
      <c r="C168" s="2">
        <v>0.0</v>
      </c>
      <c r="D168" s="2">
        <v>-7.464</v>
      </c>
      <c r="E168" s="2">
        <v>1.0</v>
      </c>
      <c r="F168" s="2">
        <v>0.275</v>
      </c>
      <c r="G168" s="2">
        <v>0.305</v>
      </c>
      <c r="H168" s="2">
        <v>0.0</v>
      </c>
      <c r="I168" s="2">
        <v>0.078</v>
      </c>
      <c r="J168" s="2">
        <v>0.645</v>
      </c>
      <c r="K168" s="2">
        <v>155.03</v>
      </c>
      <c r="L168" s="2">
        <v>150915.0</v>
      </c>
      <c r="M168" s="2">
        <v>4.0</v>
      </c>
      <c r="N168" s="2">
        <v>1.0</v>
      </c>
    </row>
    <row r="169" ht="22.5" customHeight="1">
      <c r="A169" s="2">
        <v>0.335</v>
      </c>
      <c r="B169" s="2">
        <v>0.0287</v>
      </c>
      <c r="C169" s="2">
        <v>10.0</v>
      </c>
      <c r="D169" s="2">
        <v>-27.4</v>
      </c>
      <c r="E169" s="2">
        <v>1.0</v>
      </c>
      <c r="F169" s="2">
        <v>0.041</v>
      </c>
      <c r="G169" s="2">
        <v>0.991</v>
      </c>
      <c r="H169" s="2">
        <v>0.888</v>
      </c>
      <c r="I169" s="2">
        <v>0.0874</v>
      </c>
      <c r="J169" s="2">
        <v>0.0371</v>
      </c>
      <c r="K169" s="2">
        <v>67.446</v>
      </c>
      <c r="L169" s="2">
        <v>328000.0</v>
      </c>
      <c r="M169" s="2">
        <v>4.0</v>
      </c>
      <c r="N169" s="2">
        <v>0.0</v>
      </c>
    </row>
    <row r="170" ht="22.5" customHeight="1">
      <c r="A170" s="2">
        <v>0.463</v>
      </c>
      <c r="B170" s="2">
        <v>0.155</v>
      </c>
      <c r="C170" s="2">
        <v>5.0</v>
      </c>
      <c r="D170" s="2">
        <v>-17.164</v>
      </c>
      <c r="E170" s="2">
        <v>1.0</v>
      </c>
      <c r="F170" s="2">
        <v>0.044</v>
      </c>
      <c r="G170" s="2">
        <v>0.877</v>
      </c>
      <c r="H170" s="2">
        <v>0.261</v>
      </c>
      <c r="I170" s="2">
        <v>0.105</v>
      </c>
      <c r="J170" s="2">
        <v>0.222</v>
      </c>
      <c r="K170" s="2">
        <v>122.437</v>
      </c>
      <c r="L170" s="2">
        <v>301720.0</v>
      </c>
      <c r="M170" s="2">
        <v>4.0</v>
      </c>
      <c r="N170" s="2">
        <v>0.0</v>
      </c>
    </row>
    <row r="171" ht="22.5" customHeight="1">
      <c r="A171" s="2">
        <v>0.849</v>
      </c>
      <c r="B171" s="2">
        <v>0.813</v>
      </c>
      <c r="C171" s="2">
        <v>11.0</v>
      </c>
      <c r="D171" s="2">
        <v>-5.335</v>
      </c>
      <c r="E171" s="2">
        <v>1.0</v>
      </c>
      <c r="F171" s="2">
        <v>0.439</v>
      </c>
      <c r="G171" s="2">
        <v>0.52</v>
      </c>
      <c r="H171" s="2">
        <v>0.0</v>
      </c>
      <c r="I171" s="2">
        <v>0.18</v>
      </c>
      <c r="J171" s="2">
        <v>0.665</v>
      </c>
      <c r="K171" s="2">
        <v>147.039</v>
      </c>
      <c r="L171" s="2">
        <v>145853.0</v>
      </c>
      <c r="M171" s="2">
        <v>4.0</v>
      </c>
      <c r="N171" s="2">
        <v>1.0</v>
      </c>
    </row>
    <row r="172" ht="22.5" customHeight="1">
      <c r="A172" s="2">
        <v>0.205</v>
      </c>
      <c r="B172" s="2">
        <v>0.129</v>
      </c>
      <c r="C172" s="2">
        <v>7.0</v>
      </c>
      <c r="D172" s="2">
        <v>-18.197</v>
      </c>
      <c r="E172" s="2">
        <v>1.0</v>
      </c>
      <c r="F172" s="2">
        <v>0.0595</v>
      </c>
      <c r="G172" s="2">
        <v>0.968</v>
      </c>
      <c r="H172" s="2">
        <v>0.946</v>
      </c>
      <c r="I172" s="2">
        <v>0.101</v>
      </c>
      <c r="J172" s="2">
        <v>0.296</v>
      </c>
      <c r="K172" s="2">
        <v>136.871</v>
      </c>
      <c r="L172" s="2">
        <v>169924.0</v>
      </c>
      <c r="M172" s="2">
        <v>4.0</v>
      </c>
      <c r="N172" s="2">
        <v>0.0</v>
      </c>
    </row>
    <row r="173" ht="22.5" customHeight="1">
      <c r="A173" s="2">
        <v>0.191</v>
      </c>
      <c r="B173" s="2">
        <v>0.0317</v>
      </c>
      <c r="C173" s="2">
        <v>9.0</v>
      </c>
      <c r="D173" s="2">
        <v>-35.616</v>
      </c>
      <c r="E173" s="2">
        <v>0.0</v>
      </c>
      <c r="F173" s="2">
        <v>0.0407</v>
      </c>
      <c r="G173" s="2">
        <v>0.984</v>
      </c>
      <c r="H173" s="2">
        <v>0.888</v>
      </c>
      <c r="I173" s="2">
        <v>0.0974</v>
      </c>
      <c r="J173" s="2">
        <v>0.142</v>
      </c>
      <c r="K173" s="2">
        <v>135.974</v>
      </c>
      <c r="L173" s="2">
        <v>150733.0</v>
      </c>
      <c r="M173" s="2">
        <v>3.0</v>
      </c>
      <c r="N173" s="2">
        <v>0.0</v>
      </c>
    </row>
    <row r="174" ht="22.5" customHeight="1">
      <c r="A174" s="2">
        <v>0.901</v>
      </c>
      <c r="B174" s="2">
        <v>0.653</v>
      </c>
      <c r="C174" s="2">
        <v>1.0</v>
      </c>
      <c r="D174" s="2">
        <v>-6.199</v>
      </c>
      <c r="E174" s="2">
        <v>1.0</v>
      </c>
      <c r="F174" s="2">
        <v>0.308</v>
      </c>
      <c r="G174" s="2">
        <v>0.466</v>
      </c>
      <c r="H174" s="2">
        <v>0.0</v>
      </c>
      <c r="I174" s="2">
        <v>0.21</v>
      </c>
      <c r="J174" s="2">
        <v>0.551</v>
      </c>
      <c r="K174" s="2">
        <v>132.979</v>
      </c>
      <c r="L174" s="2">
        <v>173987.0</v>
      </c>
      <c r="M174" s="2">
        <v>4.0</v>
      </c>
      <c r="N174" s="2">
        <v>1.0</v>
      </c>
    </row>
    <row r="175" ht="22.5" customHeight="1">
      <c r="A175" s="2">
        <v>0.45</v>
      </c>
      <c r="B175" s="2">
        <v>0.952</v>
      </c>
      <c r="C175" s="2">
        <v>2.0</v>
      </c>
      <c r="D175" s="2">
        <v>-5.075</v>
      </c>
      <c r="E175" s="2">
        <v>0.0</v>
      </c>
      <c r="F175" s="2">
        <v>0.09</v>
      </c>
      <c r="G175" s="2">
        <v>2.43E-4</v>
      </c>
      <c r="H175" s="2">
        <v>0.00449</v>
      </c>
      <c r="I175" s="2">
        <v>0.554</v>
      </c>
      <c r="J175" s="2">
        <v>0.177</v>
      </c>
      <c r="K175" s="2">
        <v>140.046</v>
      </c>
      <c r="L175" s="2">
        <v>216033.0</v>
      </c>
      <c r="M175" s="2">
        <v>4.0</v>
      </c>
      <c r="N175" s="2">
        <v>1.0</v>
      </c>
    </row>
    <row r="176" ht="22.5" customHeight="1">
      <c r="A176" s="2">
        <v>0.656</v>
      </c>
      <c r="B176" s="2">
        <v>0.9</v>
      </c>
      <c r="C176" s="2">
        <v>5.0</v>
      </c>
      <c r="D176" s="2">
        <v>-9.583</v>
      </c>
      <c r="E176" s="2">
        <v>0.0</v>
      </c>
      <c r="F176" s="2">
        <v>0.0354</v>
      </c>
      <c r="G176" s="2">
        <v>0.0791</v>
      </c>
      <c r="H176" s="2">
        <v>0.00142</v>
      </c>
      <c r="I176" s="2">
        <v>0.354</v>
      </c>
      <c r="J176" s="2">
        <v>0.947</v>
      </c>
      <c r="K176" s="2">
        <v>108.698</v>
      </c>
      <c r="L176" s="2">
        <v>183667.0</v>
      </c>
      <c r="M176" s="2">
        <v>4.0</v>
      </c>
      <c r="N176" s="2">
        <v>0.0</v>
      </c>
    </row>
    <row r="177" ht="22.5" customHeight="1">
      <c r="A177" s="2">
        <v>0.712</v>
      </c>
      <c r="B177" s="2">
        <v>0.552</v>
      </c>
      <c r="C177" s="2">
        <v>10.0</v>
      </c>
      <c r="D177" s="2">
        <v>-15.485</v>
      </c>
      <c r="E177" s="2">
        <v>0.0</v>
      </c>
      <c r="F177" s="2">
        <v>0.0363</v>
      </c>
      <c r="G177" s="2">
        <v>0.0752</v>
      </c>
      <c r="H177" s="2">
        <v>0.0012</v>
      </c>
      <c r="I177" s="2">
        <v>0.15</v>
      </c>
      <c r="J177" s="2">
        <v>0.961</v>
      </c>
      <c r="K177" s="2">
        <v>103.604</v>
      </c>
      <c r="L177" s="2">
        <v>281667.0</v>
      </c>
      <c r="M177" s="2">
        <v>4.0</v>
      </c>
      <c r="N177" s="2">
        <v>0.0</v>
      </c>
    </row>
    <row r="178" ht="22.5" customHeight="1">
      <c r="A178" s="2">
        <v>0.447</v>
      </c>
      <c r="B178" s="2">
        <v>0.449</v>
      </c>
      <c r="C178" s="2">
        <v>2.0</v>
      </c>
      <c r="D178" s="2">
        <v>-10.634</v>
      </c>
      <c r="E178" s="2">
        <v>1.0</v>
      </c>
      <c r="F178" s="2">
        <v>0.0376</v>
      </c>
      <c r="G178" s="2">
        <v>0.934</v>
      </c>
      <c r="H178" s="2">
        <v>0.961</v>
      </c>
      <c r="I178" s="2">
        <v>0.0697</v>
      </c>
      <c r="J178" s="2">
        <v>0.036</v>
      </c>
      <c r="K178" s="2">
        <v>92.468</v>
      </c>
      <c r="L178" s="2">
        <v>315427.0</v>
      </c>
      <c r="M178" s="2">
        <v>4.0</v>
      </c>
      <c r="N178" s="2">
        <v>0.0</v>
      </c>
    </row>
    <row r="179" ht="22.5" customHeight="1">
      <c r="A179" s="2">
        <v>0.716</v>
      </c>
      <c r="B179" s="2">
        <v>0.946</v>
      </c>
      <c r="C179" s="2">
        <v>1.0</v>
      </c>
      <c r="D179" s="2">
        <v>-3.412</v>
      </c>
      <c r="E179" s="2">
        <v>1.0</v>
      </c>
      <c r="F179" s="2">
        <v>0.261</v>
      </c>
      <c r="G179" s="2">
        <v>0.094</v>
      </c>
      <c r="H179" s="5">
        <v>6.63E-5</v>
      </c>
      <c r="I179" s="2">
        <v>0.0825</v>
      </c>
      <c r="J179" s="2">
        <v>0.587</v>
      </c>
      <c r="K179" s="2">
        <v>139.943</v>
      </c>
      <c r="L179" s="2">
        <v>200571.0</v>
      </c>
      <c r="M179" s="2">
        <v>4.0</v>
      </c>
      <c r="N179" s="2">
        <v>1.0</v>
      </c>
    </row>
    <row r="180" ht="22.5" customHeight="1">
      <c r="A180" s="2">
        <v>0.795</v>
      </c>
      <c r="B180" s="2">
        <v>0.492</v>
      </c>
      <c r="C180" s="2">
        <v>0.0</v>
      </c>
      <c r="D180" s="2">
        <v>-10.775</v>
      </c>
      <c r="E180" s="2">
        <v>1.0</v>
      </c>
      <c r="F180" s="2">
        <v>0.326</v>
      </c>
      <c r="G180" s="2">
        <v>0.416</v>
      </c>
      <c r="H180" s="2">
        <v>0.0</v>
      </c>
      <c r="I180" s="2">
        <v>0.186</v>
      </c>
      <c r="J180" s="2">
        <v>0.649</v>
      </c>
      <c r="K180" s="2">
        <v>156.99</v>
      </c>
      <c r="L180" s="2">
        <v>95533.0</v>
      </c>
      <c r="M180" s="2">
        <v>4.0</v>
      </c>
      <c r="N180" s="2">
        <v>1.0</v>
      </c>
    </row>
    <row r="181" ht="22.5" customHeight="1">
      <c r="A181" s="2">
        <v>0.767</v>
      </c>
      <c r="B181" s="2">
        <v>0.659</v>
      </c>
      <c r="C181" s="2">
        <v>7.0</v>
      </c>
      <c r="D181" s="2">
        <v>-4.541</v>
      </c>
      <c r="E181" s="2">
        <v>1.0</v>
      </c>
      <c r="F181" s="2">
        <v>0.0387</v>
      </c>
      <c r="G181" s="2">
        <v>0.785</v>
      </c>
      <c r="H181" s="2">
        <v>0.0</v>
      </c>
      <c r="I181" s="2">
        <v>0.112</v>
      </c>
      <c r="J181" s="2">
        <v>0.631</v>
      </c>
      <c r="K181" s="2">
        <v>90.056</v>
      </c>
      <c r="L181" s="2">
        <v>186720.0</v>
      </c>
      <c r="M181" s="2">
        <v>4.0</v>
      </c>
      <c r="N181" s="2">
        <v>1.0</v>
      </c>
    </row>
    <row r="182" ht="22.5" customHeight="1">
      <c r="A182" s="2">
        <v>0.797</v>
      </c>
      <c r="B182" s="2">
        <v>0.468</v>
      </c>
      <c r="C182" s="2">
        <v>2.0</v>
      </c>
      <c r="D182" s="2">
        <v>-9.28</v>
      </c>
      <c r="E182" s="2">
        <v>0.0</v>
      </c>
      <c r="F182" s="2">
        <v>0.0278</v>
      </c>
      <c r="G182" s="2">
        <v>0.6</v>
      </c>
      <c r="H182" s="5">
        <v>2.98E-5</v>
      </c>
      <c r="I182" s="2">
        <v>0.0623</v>
      </c>
      <c r="J182" s="2">
        <v>0.628</v>
      </c>
      <c r="K182" s="2">
        <v>108.628</v>
      </c>
      <c r="L182" s="2">
        <v>248440.0</v>
      </c>
      <c r="M182" s="2">
        <v>4.0</v>
      </c>
      <c r="N182" s="2">
        <v>0.0</v>
      </c>
    </row>
    <row r="183" ht="22.5" customHeight="1">
      <c r="A183" s="2">
        <v>0.8</v>
      </c>
      <c r="B183" s="2">
        <v>0.719</v>
      </c>
      <c r="C183" s="2">
        <v>7.0</v>
      </c>
      <c r="D183" s="2">
        <v>-6.262</v>
      </c>
      <c r="E183" s="2">
        <v>1.0</v>
      </c>
      <c r="F183" s="2">
        <v>0.234</v>
      </c>
      <c r="G183" s="2">
        <v>0.109</v>
      </c>
      <c r="H183" s="2">
        <v>0.0</v>
      </c>
      <c r="I183" s="2">
        <v>0.058</v>
      </c>
      <c r="J183" s="2">
        <v>0.815</v>
      </c>
      <c r="K183" s="2">
        <v>143.975</v>
      </c>
      <c r="L183" s="2">
        <v>230854.0</v>
      </c>
      <c r="M183" s="2">
        <v>4.0</v>
      </c>
      <c r="N183" s="2">
        <v>1.0</v>
      </c>
    </row>
    <row r="184" ht="22.5" customHeight="1">
      <c r="A184" s="2">
        <v>0.64</v>
      </c>
      <c r="B184" s="2">
        <v>0.852</v>
      </c>
      <c r="C184" s="2">
        <v>5.0</v>
      </c>
      <c r="D184" s="2">
        <v>-6.81</v>
      </c>
      <c r="E184" s="2">
        <v>0.0</v>
      </c>
      <c r="F184" s="2">
        <v>0.039</v>
      </c>
      <c r="G184" s="2">
        <v>0.00418</v>
      </c>
      <c r="H184" s="5">
        <v>1.08E-6</v>
      </c>
      <c r="I184" s="2">
        <v>0.146</v>
      </c>
      <c r="J184" s="2">
        <v>0.861</v>
      </c>
      <c r="K184" s="2">
        <v>145.009</v>
      </c>
      <c r="L184" s="2">
        <v>190000.0</v>
      </c>
      <c r="M184" s="2">
        <v>4.0</v>
      </c>
      <c r="N184" s="2">
        <v>1.0</v>
      </c>
    </row>
    <row r="185" ht="22.5" customHeight="1">
      <c r="A185" s="2">
        <v>0.571</v>
      </c>
      <c r="B185" s="2">
        <v>0.996</v>
      </c>
      <c r="C185" s="2">
        <v>10.0</v>
      </c>
      <c r="D185" s="2">
        <v>-4.907</v>
      </c>
      <c r="E185" s="2">
        <v>0.0</v>
      </c>
      <c r="F185" s="2">
        <v>0.215</v>
      </c>
      <c r="G185" s="5">
        <v>4.93E-5</v>
      </c>
      <c r="H185" s="2">
        <v>0.601</v>
      </c>
      <c r="I185" s="2">
        <v>0.187</v>
      </c>
      <c r="J185" s="2">
        <v>0.0468</v>
      </c>
      <c r="K185" s="2">
        <v>94.992</v>
      </c>
      <c r="L185" s="2">
        <v>211693.0</v>
      </c>
      <c r="M185" s="2">
        <v>4.0</v>
      </c>
      <c r="N185" s="2">
        <v>0.0</v>
      </c>
    </row>
    <row r="186" ht="22.5" customHeight="1">
      <c r="A186" s="2">
        <v>0.762</v>
      </c>
      <c r="B186" s="2">
        <v>0.6</v>
      </c>
      <c r="C186" s="2">
        <v>5.0</v>
      </c>
      <c r="D186" s="2">
        <v>-7.585</v>
      </c>
      <c r="E186" s="2">
        <v>0.0</v>
      </c>
      <c r="F186" s="2">
        <v>0.0909</v>
      </c>
      <c r="G186" s="2">
        <v>0.542</v>
      </c>
      <c r="H186" s="2">
        <v>0.0</v>
      </c>
      <c r="I186" s="2">
        <v>0.0841</v>
      </c>
      <c r="J186" s="2">
        <v>0.39</v>
      </c>
      <c r="K186" s="2">
        <v>115.908</v>
      </c>
      <c r="L186" s="2">
        <v>352627.0</v>
      </c>
      <c r="M186" s="2">
        <v>4.0</v>
      </c>
      <c r="N186" s="2">
        <v>0.0</v>
      </c>
    </row>
    <row r="187" ht="22.5" customHeight="1">
      <c r="A187" s="2">
        <v>0.583</v>
      </c>
      <c r="B187" s="2">
        <v>0.381</v>
      </c>
      <c r="C187" s="2">
        <v>9.0</v>
      </c>
      <c r="D187" s="2">
        <v>-10.033</v>
      </c>
      <c r="E187" s="2">
        <v>0.0</v>
      </c>
      <c r="F187" s="2">
        <v>0.0429</v>
      </c>
      <c r="G187" s="2">
        <v>0.416</v>
      </c>
      <c r="H187" s="2">
        <v>2.26E-4</v>
      </c>
      <c r="I187" s="2">
        <v>0.0958</v>
      </c>
      <c r="J187" s="2">
        <v>0.153</v>
      </c>
      <c r="K187" s="2">
        <v>127.667</v>
      </c>
      <c r="L187" s="2">
        <v>316378.0</v>
      </c>
      <c r="M187" s="2">
        <v>4.0</v>
      </c>
      <c r="N187" s="2">
        <v>0.0</v>
      </c>
    </row>
    <row r="188" ht="22.5" customHeight="1">
      <c r="A188" s="2">
        <v>0.533</v>
      </c>
      <c r="B188" s="2">
        <v>0.593</v>
      </c>
      <c r="C188" s="2">
        <v>11.0</v>
      </c>
      <c r="D188" s="2">
        <v>-5.284</v>
      </c>
      <c r="E188" s="2">
        <v>1.0</v>
      </c>
      <c r="F188" s="2">
        <v>0.0581</v>
      </c>
      <c r="G188" s="2">
        <v>0.156</v>
      </c>
      <c r="H188" s="2">
        <v>0.0262</v>
      </c>
      <c r="I188" s="2">
        <v>0.0819</v>
      </c>
      <c r="J188" s="2">
        <v>0.0888</v>
      </c>
      <c r="K188" s="2">
        <v>128.646</v>
      </c>
      <c r="L188" s="2">
        <v>158547.0</v>
      </c>
      <c r="M188" s="2">
        <v>5.0</v>
      </c>
      <c r="N188" s="2">
        <v>1.0</v>
      </c>
    </row>
    <row r="189" ht="22.5" customHeight="1">
      <c r="A189" s="2">
        <v>0.864</v>
      </c>
      <c r="B189" s="2">
        <v>0.629</v>
      </c>
      <c r="C189" s="2">
        <v>1.0</v>
      </c>
      <c r="D189" s="2">
        <v>-6.602</v>
      </c>
      <c r="E189" s="2">
        <v>0.0</v>
      </c>
      <c r="F189" s="2">
        <v>0.279</v>
      </c>
      <c r="G189" s="2">
        <v>0.0987</v>
      </c>
      <c r="H189" s="2">
        <v>0.0</v>
      </c>
      <c r="I189" s="2">
        <v>0.0737</v>
      </c>
      <c r="J189" s="2">
        <v>0.22</v>
      </c>
      <c r="K189" s="2">
        <v>140.025</v>
      </c>
      <c r="L189" s="2">
        <v>190972.0</v>
      </c>
      <c r="M189" s="2">
        <v>4.0</v>
      </c>
      <c r="N189" s="2">
        <v>1.0</v>
      </c>
    </row>
    <row r="190" ht="22.5" customHeight="1">
      <c r="A190" s="2">
        <v>0.856</v>
      </c>
      <c r="B190" s="2">
        <v>0.602</v>
      </c>
      <c r="C190" s="2">
        <v>0.0</v>
      </c>
      <c r="D190" s="2">
        <v>-8.173</v>
      </c>
      <c r="E190" s="2">
        <v>0.0</v>
      </c>
      <c r="F190" s="2">
        <v>0.336</v>
      </c>
      <c r="G190" s="2">
        <v>0.127</v>
      </c>
      <c r="H190" s="2">
        <v>0.0</v>
      </c>
      <c r="I190" s="2">
        <v>0.115</v>
      </c>
      <c r="J190" s="2">
        <v>0.723</v>
      </c>
      <c r="K190" s="2">
        <v>142.95</v>
      </c>
      <c r="L190" s="2">
        <v>77203.0</v>
      </c>
      <c r="M190" s="2">
        <v>4.0</v>
      </c>
      <c r="N190" s="2">
        <v>1.0</v>
      </c>
    </row>
    <row r="191" ht="22.5" customHeight="1">
      <c r="A191" s="2">
        <v>0.225</v>
      </c>
      <c r="B191" s="2">
        <v>0.98</v>
      </c>
      <c r="C191" s="2">
        <v>6.0</v>
      </c>
      <c r="D191" s="2">
        <v>-5.626</v>
      </c>
      <c r="E191" s="2">
        <v>1.0</v>
      </c>
      <c r="F191" s="2">
        <v>0.143</v>
      </c>
      <c r="G191" s="5">
        <v>5.84E-6</v>
      </c>
      <c r="H191" s="2">
        <v>0.86</v>
      </c>
      <c r="I191" s="2">
        <v>0.0653</v>
      </c>
      <c r="J191" s="2">
        <v>0.105</v>
      </c>
      <c r="K191" s="2">
        <v>115.077</v>
      </c>
      <c r="L191" s="2">
        <v>285907.0</v>
      </c>
      <c r="M191" s="2">
        <v>4.0</v>
      </c>
      <c r="N191" s="2">
        <v>0.0</v>
      </c>
    </row>
    <row r="192" ht="22.5" customHeight="1">
      <c r="A192" s="2">
        <v>0.166</v>
      </c>
      <c r="B192" s="2">
        <v>0.0551</v>
      </c>
      <c r="C192" s="2">
        <v>9.0</v>
      </c>
      <c r="D192" s="2">
        <v>-19.494</v>
      </c>
      <c r="E192" s="2">
        <v>0.0</v>
      </c>
      <c r="F192" s="2">
        <v>0.052</v>
      </c>
      <c r="G192" s="2">
        <v>0.976</v>
      </c>
      <c r="H192" s="2">
        <v>0.635</v>
      </c>
      <c r="I192" s="2">
        <v>0.119</v>
      </c>
      <c r="J192" s="2">
        <v>0.143</v>
      </c>
      <c r="K192" s="2">
        <v>176.616</v>
      </c>
      <c r="L192" s="2">
        <v>206520.0</v>
      </c>
      <c r="M192" s="2">
        <v>3.0</v>
      </c>
      <c r="N192" s="2">
        <v>0.0</v>
      </c>
    </row>
    <row r="193" ht="22.5" customHeight="1">
      <c r="A193" s="2">
        <v>0.862</v>
      </c>
      <c r="B193" s="2">
        <v>0.624</v>
      </c>
      <c r="C193" s="2">
        <v>3.0</v>
      </c>
      <c r="D193" s="2">
        <v>-11.63</v>
      </c>
      <c r="E193" s="2">
        <v>1.0</v>
      </c>
      <c r="F193" s="2">
        <v>0.0565</v>
      </c>
      <c r="G193" s="2">
        <v>0.0192</v>
      </c>
      <c r="H193" s="2">
        <v>1.53E-4</v>
      </c>
      <c r="I193" s="2">
        <v>0.0465</v>
      </c>
      <c r="J193" s="2">
        <v>0.882</v>
      </c>
      <c r="K193" s="2">
        <v>124.896</v>
      </c>
      <c r="L193" s="2">
        <v>254240.0</v>
      </c>
      <c r="M193" s="2">
        <v>4.0</v>
      </c>
      <c r="N193" s="2">
        <v>0.0</v>
      </c>
    </row>
    <row r="194" ht="22.5" customHeight="1">
      <c r="A194" s="2">
        <v>0.499</v>
      </c>
      <c r="B194" s="2">
        <v>0.351</v>
      </c>
      <c r="C194" s="2">
        <v>9.0</v>
      </c>
      <c r="D194" s="2">
        <v>-11.509</v>
      </c>
      <c r="E194" s="2">
        <v>0.0</v>
      </c>
      <c r="F194" s="2">
        <v>0.0448</v>
      </c>
      <c r="G194" s="2">
        <v>0.951</v>
      </c>
      <c r="H194" s="5">
        <v>9.94E-5</v>
      </c>
      <c r="I194" s="2">
        <v>0.118</v>
      </c>
      <c r="J194" s="2">
        <v>0.616</v>
      </c>
      <c r="K194" s="2">
        <v>90.664</v>
      </c>
      <c r="L194" s="2">
        <v>235947.0</v>
      </c>
      <c r="M194" s="2">
        <v>4.0</v>
      </c>
      <c r="N194" s="2">
        <v>0.0</v>
      </c>
    </row>
    <row r="195" ht="22.5" customHeight="1">
      <c r="A195" s="2">
        <v>0.574</v>
      </c>
      <c r="B195" s="2">
        <v>0.729</v>
      </c>
      <c r="C195" s="2">
        <v>10.0</v>
      </c>
      <c r="D195" s="2">
        <v>-5.838</v>
      </c>
      <c r="E195" s="2">
        <v>0.0</v>
      </c>
      <c r="F195" s="2">
        <v>0.0965</v>
      </c>
      <c r="G195" s="2">
        <v>0.0406</v>
      </c>
      <c r="H195" s="5">
        <v>4.05E-6</v>
      </c>
      <c r="I195" s="2">
        <v>0.194</v>
      </c>
      <c r="J195" s="2">
        <v>0.413</v>
      </c>
      <c r="K195" s="2">
        <v>110.547</v>
      </c>
      <c r="L195" s="2">
        <v>190239.0</v>
      </c>
      <c r="M195" s="2">
        <v>5.0</v>
      </c>
      <c r="N195" s="2">
        <v>1.0</v>
      </c>
    </row>
    <row r="196" ht="22.5" customHeight="1">
      <c r="A196" s="2">
        <v>0.747</v>
      </c>
      <c r="B196" s="2">
        <v>0.666</v>
      </c>
      <c r="C196" s="2">
        <v>11.0</v>
      </c>
      <c r="D196" s="2">
        <v>-7.845</v>
      </c>
      <c r="E196" s="2">
        <v>1.0</v>
      </c>
      <c r="F196" s="2">
        <v>0.197</v>
      </c>
      <c r="G196" s="2">
        <v>0.13</v>
      </c>
      <c r="H196" s="2">
        <v>0.0</v>
      </c>
      <c r="I196" s="2">
        <v>0.36</v>
      </c>
      <c r="J196" s="2">
        <v>0.531</v>
      </c>
      <c r="K196" s="2">
        <v>77.507</v>
      </c>
      <c r="L196" s="2">
        <v>177213.0</v>
      </c>
      <c r="M196" s="2">
        <v>4.0</v>
      </c>
      <c r="N196" s="2">
        <v>1.0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4.75"/>
  </cols>
  <sheetData>
    <row r="1" ht="22.5" customHeight="1">
      <c r="G1" s="1" t="s">
        <v>17</v>
      </c>
      <c r="H1" s="1" t="s">
        <v>18</v>
      </c>
      <c r="I1" s="1" t="s">
        <v>19</v>
      </c>
      <c r="J1" s="1" t="s">
        <v>20</v>
      </c>
    </row>
    <row r="2" ht="22.5" customHeight="1">
      <c r="G2" s="2" t="s">
        <v>21</v>
      </c>
      <c r="H2" s="4">
        <f>AVERAGE(Raw_Data.csv!K2:K196)</f>
        <v>121.0861744</v>
      </c>
      <c r="I2" s="4">
        <f>MAX(Raw_Data.csv!K2:K196)</f>
        <v>180.036</v>
      </c>
      <c r="J2" s="4">
        <f>MIN(Raw_Data.csv!K2:K196)</f>
        <v>60.171</v>
      </c>
    </row>
    <row r="3" ht="22.5" customHeight="1">
      <c r="G3" s="2" t="s">
        <v>22</v>
      </c>
      <c r="H3" s="4">
        <f>AVERAGE(Raw_Data.csv!L2:L196)</f>
        <v>213408.9333</v>
      </c>
      <c r="I3" s="4">
        <f>MAX(Raw_Data.csv!L2:L196)</f>
        <v>655213</v>
      </c>
      <c r="J3" s="4">
        <f>MIN(Raw_Data.csv!L2:L196)</f>
        <v>77203</v>
      </c>
    </row>
    <row r="4" ht="22.5" customHeight="1">
      <c r="G4" s="2" t="s">
        <v>23</v>
      </c>
      <c r="H4" s="4">
        <f>AVERAGE(Raw_Data.csv!B2:B196)</f>
        <v>0.6384314872</v>
      </c>
      <c r="I4" s="4">
        <f>MAX(Raw_Data.csv!B2:B196)</f>
        <v>0.996</v>
      </c>
      <c r="J4" s="4">
        <f>MIN(Raw_Data.csv!B2:B196)</f>
        <v>0.0024</v>
      </c>
    </row>
    <row r="5" ht="22.5" customHeight="1">
      <c r="G5" s="2" t="s">
        <v>24</v>
      </c>
      <c r="H5" s="4">
        <f>AVERAGE(Raw_Data.csv!A2:A196)</f>
        <v>0.6366564103</v>
      </c>
      <c r="I5" s="4">
        <f>MAX(Raw_Data.csv!A2:A196)</f>
        <v>0.946</v>
      </c>
      <c r="J5" s="4">
        <f>MIN(Raw_Data.csv!A2:A196)</f>
        <v>0.13</v>
      </c>
    </row>
    <row r="6" ht="22.5" customHeight="1">
      <c r="G6" s="2" t="s">
        <v>25</v>
      </c>
      <c r="H6" s="4">
        <f>AVERAGE(Raw_Data.csv!D:D)</f>
        <v>-9.481630769</v>
      </c>
      <c r="I6" s="4">
        <f>MAX(Raw_Data.csv!D:D)</f>
        <v>-2.336</v>
      </c>
      <c r="J6" s="4">
        <f>MIN(Raw_Data.csv!D:D)</f>
        <v>-42.261</v>
      </c>
    </row>
    <row r="7" ht="22.5" customHeight="1">
      <c r="G7" s="2" t="s">
        <v>26</v>
      </c>
      <c r="H7" s="4">
        <f>AVERAGE(Raw_Data.csv!F:F)</f>
        <v>0.1489574359</v>
      </c>
      <c r="I7" s="4">
        <f>MAX(Raw_Data.csv!F:F)</f>
        <v>0.54</v>
      </c>
      <c r="J7" s="4">
        <f>MIN(Raw_Data.csv!F:F)</f>
        <v>0.0278</v>
      </c>
    </row>
    <row r="8" ht="22.5" customHeight="1">
      <c r="G8" s="2" t="s">
        <v>27</v>
      </c>
      <c r="H8" s="4">
        <f>AVERAGE(Raw_Data.csv!I:I)</f>
        <v>0.1484553846</v>
      </c>
      <c r="I8" s="4">
        <f>MAX(Raw_Data.csv!I:I)</f>
        <v>0.633</v>
      </c>
      <c r="J8" s="4">
        <f>MIN(Raw_Data.csv!I:I)</f>
        <v>0.0331</v>
      </c>
    </row>
    <row r="9" ht="22.5" customHeight="1">
      <c r="G9" s="2" t="s">
        <v>30</v>
      </c>
      <c r="H9" s="4">
        <f>AVERAGE(Raw_Data.csv!J:J)</f>
        <v>0.4936317949</v>
      </c>
      <c r="I9" s="4">
        <f>MAX(Raw_Data.csv!J:J)</f>
        <v>0.98</v>
      </c>
      <c r="J9" s="4">
        <f>MIN(Raw_Data.csv!J:J)</f>
        <v>0.0353</v>
      </c>
    </row>
    <row r="10"/>
    <row r="11"/>
    <row r="13">
      <c r="A13" s="6" t="s">
        <v>13</v>
      </c>
      <c r="B13" s="7" t="s">
        <v>31</v>
      </c>
      <c r="C13" s="7" t="s">
        <v>32</v>
      </c>
      <c r="D13" s="7" t="s">
        <v>33</v>
      </c>
      <c r="E13" s="7" t="s">
        <v>34</v>
      </c>
    </row>
    <row r="14">
      <c r="A14" s="8">
        <v>0.0</v>
      </c>
      <c r="B14" s="3">
        <f>AVERAGEIFS(Raw_Data.csv!D:D, Raw_Data.csv!N:N, 0)</f>
        <v>-12.22453684</v>
      </c>
      <c r="C14" s="3">
        <f>AVERAGEIFS(Raw_Data.csv!F:F, Raw_Data.csv!N:N, 0)</f>
        <v>0.07606947368</v>
      </c>
      <c r="D14" s="3">
        <f>AVERAGEIFS(Raw_Data.csv!I:I, Raw_Data.csv!N:N, 0)</f>
        <v>0.1495178947</v>
      </c>
      <c r="E14" s="3">
        <f>AVERAGEIFS(Raw_Data.csv!J:J, Raw_Data.csv!N:N, 0)</f>
        <v>0.4200357895</v>
      </c>
    </row>
    <row r="15">
      <c r="A15" s="8">
        <v>1.0</v>
      </c>
      <c r="B15" s="3">
        <f>AVERAGEIFS(Raw_Data.csv!D:D, Raw_Data.csv!N:N, 1)</f>
        <v>-6.87587</v>
      </c>
      <c r="C15" s="3">
        <f>AVERAGEIFS(Raw_Data.csv!F:F, Raw_Data.csv!N:N, 1)</f>
        <v>0.218201</v>
      </c>
      <c r="D15" s="3">
        <f>AVERAGEIFS(Raw_Data.csv!I:I, Raw_Data.csv!N:N, 1)</f>
        <v>0.147446</v>
      </c>
      <c r="E15" s="3">
        <f>AVERAGEIFS(Raw_Data.csv!J:J, Raw_Data.csv!N:N, 1)</f>
        <v>0.563548</v>
      </c>
    </row>
    <row r="16">
      <c r="B16" s="9"/>
      <c r="C16" s="9"/>
    </row>
    <row r="17">
      <c r="B17" s="9"/>
    </row>
  </sheetData>
  <dataValidations>
    <dataValidation type="custom" allowBlank="1" showDropDown="1" sqref="H2:J9">
      <formula1>AND(ISNUMBER(H2),(NOT(OR(NOT(ISERROR(DATEVALUE(H2))), AND(ISNUMBER(H2), LEFT(CELL("format", H2))="D")))))</formula1>
    </dataValidation>
  </dataValidation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15" width="10.13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0"/>
      <c r="B2" s="12" t="s">
        <v>35</v>
      </c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0"/>
      <c r="P3" s="10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0"/>
      <c r="B16" s="10"/>
      <c r="C16" s="10"/>
      <c r="D16" s="10"/>
      <c r="E16" s="10"/>
      <c r="F16" s="10"/>
      <c r="G16" s="13" t="s">
        <v>17</v>
      </c>
      <c r="H16" s="13" t="s">
        <v>18</v>
      </c>
      <c r="I16" s="13" t="s">
        <v>19</v>
      </c>
      <c r="J16" s="13" t="s">
        <v>20</v>
      </c>
      <c r="K16" s="10"/>
      <c r="L16" s="10"/>
      <c r="M16" s="10"/>
      <c r="N16" s="10"/>
      <c r="O16" s="10"/>
      <c r="P16" s="10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0"/>
      <c r="B17" s="10"/>
      <c r="C17" s="10"/>
      <c r="D17" s="10"/>
      <c r="E17" s="10"/>
      <c r="F17" s="10"/>
      <c r="G17" s="14" t="s">
        <v>21</v>
      </c>
      <c r="H17" s="15">
        <f>Calc_Data!H2</f>
        <v>121.0861744</v>
      </c>
      <c r="I17" s="15">
        <f>Calc_Data!I2</f>
        <v>180.036</v>
      </c>
      <c r="J17" s="15">
        <f>Calc_Data!J2</f>
        <v>60.171</v>
      </c>
      <c r="K17" s="10"/>
      <c r="L17" s="10"/>
      <c r="M17" s="10"/>
      <c r="N17" s="10"/>
      <c r="O17" s="10"/>
      <c r="P17" s="10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0"/>
      <c r="B18" s="10"/>
      <c r="C18" s="10"/>
      <c r="D18" s="10"/>
      <c r="E18" s="10"/>
      <c r="F18" s="10"/>
      <c r="G18" s="14" t="s">
        <v>22</v>
      </c>
      <c r="H18" s="16">
        <f>Calc_Data!H3</f>
        <v>213408.9333</v>
      </c>
      <c r="I18" s="16">
        <f>Calc_Data!I3</f>
        <v>655213</v>
      </c>
      <c r="J18" s="16">
        <f>Calc_Data!J3</f>
        <v>77203</v>
      </c>
      <c r="K18" s="10"/>
      <c r="L18" s="10"/>
      <c r="M18" s="10"/>
      <c r="N18" s="10"/>
      <c r="O18" s="10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</sheetData>
  <mergeCells count="1">
    <mergeCell ref="B2:O3"/>
  </mergeCells>
  <drawing r:id="rId1"/>
</worksheet>
</file>